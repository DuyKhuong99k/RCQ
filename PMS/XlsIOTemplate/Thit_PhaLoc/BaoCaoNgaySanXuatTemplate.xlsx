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F:\Project\[Project]PMS\PMS\PMS.CanPhaLoc\Template\"/>
    </mc:Choice>
  </mc:AlternateContent>
  <xr:revisionPtr revIDLastSave="0" documentId="13_ncr:1_{C5ED3A02-33CC-4D09-9DBF-54820E4EC3B9}" xr6:coauthVersionLast="47" xr6:coauthVersionMax="47" xr10:uidLastSave="{00000000-0000-0000-0000-000000000000}"/>
  <bookViews>
    <workbookView xWindow="-23148" yWindow="-108" windowWidth="23256" windowHeight="12456" tabRatio="889" xr2:uid="{00000000-000D-0000-FFFF-FFFF00000000}"/>
  </bookViews>
  <sheets>
    <sheet name="BÁO CÁO NGÀY" sheetId="18" r:id="rId1"/>
    <sheet name="NGÀY 21" sheetId="7" state="hidden" r:id="rId2"/>
    <sheet name="NGÀY 22" sheetId="8" state="hidden" r:id="rId3"/>
    <sheet name="NGÀY 23" sheetId="9" state="hidden" r:id="rId4"/>
    <sheet name="NGÀY 24" sheetId="10" state="hidden" r:id="rId5"/>
    <sheet name="NGÀY 25" sheetId="11" state="hidden" r:id="rId6"/>
    <sheet name="NGÀY 26" sheetId="12" state="hidden" r:id="rId7"/>
    <sheet name="NGÀY 27" sheetId="13" state="hidden" r:id="rId8"/>
    <sheet name="NGÀY 28" sheetId="14" state="hidden" r:id="rId9"/>
    <sheet name="NGÀY 29" sheetId="15" state="hidden" r:id="rId10"/>
    <sheet name="NGÀY 30" sheetId="16" state="hidden" r:id="rId11"/>
    <sheet name="NGÀY 31" sheetId="17" state="hidden" r:id="rId12"/>
    <sheet name="nauwr con" sheetId="2" state="hidden" r:id="rId13"/>
    <sheet name="Sheet1" sheetId="1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8" l="1"/>
  <c r="E7" i="18" s="1"/>
  <c r="E6" i="18"/>
  <c r="E8" i="18"/>
  <c r="G6" i="18"/>
  <c r="F6" i="18"/>
  <c r="D8" i="18" l="1"/>
  <c r="G6" i="7"/>
  <c r="G6" i="8"/>
  <c r="G6" i="9"/>
  <c r="G6" i="10"/>
  <c r="G6" i="11"/>
  <c r="G6" i="12"/>
  <c r="G6" i="13"/>
  <c r="G6" i="14"/>
  <c r="G6" i="15"/>
  <c r="G6" i="16"/>
  <c r="G6" i="17"/>
  <c r="F6" i="7"/>
  <c r="F6" i="8"/>
  <c r="F6" i="9"/>
  <c r="F6" i="10"/>
  <c r="F6" i="11"/>
  <c r="F6" i="12"/>
  <c r="F6" i="13"/>
  <c r="F6" i="14"/>
  <c r="F6" i="15"/>
  <c r="F6" i="16"/>
  <c r="F6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E6" i="17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E8" i="16"/>
  <c r="E6" i="16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E8" i="15"/>
  <c r="E6" i="15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E8" i="14"/>
  <c r="E6" i="14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E8" i="13"/>
  <c r="E6" i="13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E8" i="12"/>
  <c r="D7" i="12"/>
  <c r="E7" i="12" s="1"/>
  <c r="E6" i="12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D7" i="11" s="1"/>
  <c r="D8" i="11" s="1"/>
  <c r="E8" i="11"/>
  <c r="E6" i="11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D7" i="10" s="1"/>
  <c r="E7" i="10" s="1"/>
  <c r="E8" i="10"/>
  <c r="E6" i="10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D7" i="9" s="1"/>
  <c r="D8" i="9" s="1"/>
  <c r="E8" i="9"/>
  <c r="E6" i="9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E8" i="8"/>
  <c r="E6" i="8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E8" i="7"/>
  <c r="E6" i="7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6" i="2"/>
  <c r="D5" i="2" s="1"/>
  <c r="G28" i="2"/>
  <c r="E28" i="2"/>
  <c r="G27" i="2"/>
  <c r="E27" i="2"/>
  <c r="G26" i="2"/>
  <c r="E26" i="2"/>
  <c r="G25" i="2"/>
  <c r="E25" i="2"/>
  <c r="G23" i="2"/>
  <c r="E23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G6" i="2"/>
  <c r="E6" i="2"/>
  <c r="F32" i="1"/>
  <c r="F26" i="1"/>
  <c r="F21" i="1"/>
  <c r="F22" i="1"/>
  <c r="F23" i="1"/>
  <c r="F24" i="1"/>
  <c r="F20" i="1"/>
  <c r="F10" i="1"/>
  <c r="F11" i="1"/>
  <c r="F12" i="1"/>
  <c r="F13" i="1"/>
  <c r="F14" i="1"/>
  <c r="F15" i="1"/>
  <c r="F17" i="1"/>
  <c r="F18" i="1"/>
  <c r="F19" i="1"/>
  <c r="F25" i="1"/>
  <c r="F27" i="1"/>
  <c r="F28" i="1"/>
  <c r="F29" i="1"/>
  <c r="F30" i="1"/>
  <c r="F31" i="1"/>
  <c r="F33" i="1"/>
  <c r="F34" i="1"/>
  <c r="F36" i="1"/>
  <c r="F38" i="1"/>
  <c r="F40" i="1"/>
  <c r="F41" i="1"/>
  <c r="F42" i="1"/>
  <c r="F43" i="1"/>
  <c r="F9" i="1"/>
  <c r="F7" i="1"/>
  <c r="F8" i="1"/>
  <c r="F6" i="1"/>
  <c r="H7" i="1"/>
  <c r="I7" i="1" s="1"/>
  <c r="D11" i="1"/>
  <c r="D13" i="1"/>
  <c r="D14" i="1"/>
  <c r="D17" i="1"/>
  <c r="D18" i="1"/>
  <c r="D20" i="1"/>
  <c r="D21" i="1"/>
  <c r="D22" i="1"/>
  <c r="D23" i="1"/>
  <c r="D26" i="1"/>
  <c r="D27" i="1"/>
  <c r="D29" i="1"/>
  <c r="D32" i="1"/>
  <c r="D33" i="1"/>
  <c r="D34" i="1"/>
  <c r="D35" i="1"/>
  <c r="D38" i="1"/>
  <c r="D40" i="1"/>
  <c r="D41" i="1"/>
  <c r="D42" i="1"/>
  <c r="D43" i="1"/>
  <c r="D6" i="1"/>
  <c r="D7" i="14" l="1"/>
  <c r="E7" i="14" s="1"/>
  <c r="D7" i="7"/>
  <c r="E7" i="7" s="1"/>
  <c r="D7" i="16"/>
  <c r="E7" i="16" s="1"/>
  <c r="D7" i="17"/>
  <c r="D7" i="8"/>
  <c r="E7" i="8" s="1"/>
  <c r="D7" i="13"/>
  <c r="E7" i="13" s="1"/>
  <c r="D7" i="15"/>
  <c r="E7" i="15" s="1"/>
  <c r="E7" i="17"/>
  <c r="D8" i="17"/>
  <c r="E8" i="17" s="1"/>
  <c r="D8" i="16"/>
  <c r="D8" i="13"/>
  <c r="D8" i="12"/>
  <c r="E7" i="11"/>
  <c r="D8" i="10"/>
  <c r="E7" i="9"/>
  <c r="D8" i="8"/>
  <c r="D8" i="7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D8" i="15" l="1"/>
  <c r="D8" i="14"/>
  <c r="J7" i="1"/>
  <c r="K7" i="1" s="1"/>
  <c r="H8" i="1"/>
  <c r="I8" i="1" s="1"/>
  <c r="J8" i="1" s="1"/>
  <c r="L8" i="1" l="1"/>
  <c r="K8" i="1"/>
  <c r="L7" i="1"/>
</calcChain>
</file>

<file path=xl/sharedStrings.xml><?xml version="1.0" encoding="utf-8"?>
<sst xmlns="http://schemas.openxmlformats.org/spreadsheetml/2006/main" count="650" uniqueCount="87">
  <si>
    <t>Năm</t>
  </si>
  <si>
    <t>Chi tiết pha lóc</t>
  </si>
  <si>
    <t>Tuần</t>
  </si>
  <si>
    <t>Kg</t>
  </si>
  <si>
    <t>Tỷ lệ</t>
  </si>
  <si>
    <t>STT</t>
  </si>
  <si>
    <t>Mặt hàng</t>
  </si>
  <si>
    <t>Ba rọi</t>
  </si>
  <si>
    <t>Ba rọi sườn</t>
  </si>
  <si>
    <t>Ba rọi rút xương</t>
  </si>
  <si>
    <t>Bắp giò sau</t>
  </si>
  <si>
    <t>Bắp giò trước</t>
  </si>
  <si>
    <t>Cốt lết</t>
  </si>
  <si>
    <t>Da</t>
  </si>
  <si>
    <t>Đùi</t>
  </si>
  <si>
    <t>Thịt vai</t>
  </si>
  <si>
    <t>Đệm</t>
  </si>
  <si>
    <t>Đuôi</t>
  </si>
  <si>
    <t>Giò trước</t>
  </si>
  <si>
    <t>Giò sau</t>
  </si>
  <si>
    <t>Móng giò sau</t>
  </si>
  <si>
    <t>Mỡ bụng</t>
  </si>
  <si>
    <t>Mỡ Sa</t>
  </si>
  <si>
    <t>Mỡ lưng</t>
  </si>
  <si>
    <t>Mỡ gáy</t>
  </si>
  <si>
    <t>Mỡ vụn</t>
  </si>
  <si>
    <t>Mỡ da</t>
  </si>
  <si>
    <t>Nách</t>
  </si>
  <si>
    <t>Nọng</t>
  </si>
  <si>
    <t>Nạc vai</t>
  </si>
  <si>
    <t>Nạc dăm</t>
  </si>
  <si>
    <t>Nạc đùi</t>
  </si>
  <si>
    <t>Nạc vụn</t>
  </si>
  <si>
    <t>Sườn non</t>
  </si>
  <si>
    <t>Sườn già mềm</t>
  </si>
  <si>
    <t>Sườn già cứng</t>
  </si>
  <si>
    <t>Sụn mặt trăng</t>
  </si>
  <si>
    <t>Thăn chuột</t>
  </si>
  <si>
    <t>Thịt xay</t>
  </si>
  <si>
    <t>Xương giá</t>
  </si>
  <si>
    <t>Xương giá thịt</t>
  </si>
  <si>
    <t>Xương cổ</t>
  </si>
  <si>
    <t>Xương đuôi</t>
  </si>
  <si>
    <t>Xương ống dài</t>
  </si>
  <si>
    <t>Xương ống cụt</t>
  </si>
  <si>
    <t>Giá mảnh</t>
  </si>
  <si>
    <t>Tổng Giá trị BQ/mảnh</t>
  </si>
  <si>
    <t>Lãi gộp BQ/kg</t>
  </si>
  <si>
    <t>Lãi Gộp BQ/con</t>
  </si>
  <si>
    <t>Giá BQ/kg</t>
  </si>
  <si>
    <t>Mức giá</t>
  </si>
  <si>
    <t>Lãi gộp %</t>
  </si>
  <si>
    <t>Bảng giá bán pha lóc</t>
  </si>
  <si>
    <t>Giá Bán lẻ</t>
  </si>
  <si>
    <t>Giá đang áp dụng</t>
  </si>
  <si>
    <t>Giá sau thay đổi</t>
  </si>
  <si>
    <t>Hao hụt</t>
  </si>
  <si>
    <t>Lần 1</t>
  </si>
  <si>
    <t>Trọng lượng từng lần cân</t>
  </si>
  <si>
    <t>Lần 2</t>
  </si>
  <si>
    <t>Lần 3</t>
  </si>
  <si>
    <t>Lần 4</t>
  </si>
  <si>
    <t>Lần 5</t>
  </si>
  <si>
    <t>Lần 6</t>
  </si>
  <si>
    <t>Lần 7</t>
  </si>
  <si>
    <t>Lần 8</t>
  </si>
  <si>
    <t>Lần 9</t>
  </si>
  <si>
    <t>Lần 10</t>
  </si>
  <si>
    <t>Lần 11</t>
  </si>
  <si>
    <t>Lần 12</t>
  </si>
  <si>
    <t>Ngày:</t>
  </si>
  <si>
    <t>Heo mãnh</t>
  </si>
  <si>
    <t>Số lượng / Mãnh</t>
  </si>
  <si>
    <t>Tổng trọng lượng/kg</t>
  </si>
  <si>
    <t>TLBQ</t>
  </si>
  <si>
    <t>Tổng Cộng</t>
  </si>
  <si>
    <t>Thu hồi</t>
  </si>
  <si>
    <t>Tỷ lệ
thu hồi</t>
  </si>
  <si>
    <t>Tỷ lệ
hao hụt</t>
  </si>
  <si>
    <t>BÁO CÁO NGÀY</t>
  </si>
  <si>
    <t>%date</t>
  </si>
  <si>
    <t>%items.STT</t>
  </si>
  <si>
    <t>%items.ThanhPhamName</t>
  </si>
  <si>
    <t>%items.TrongLuong</t>
  </si>
  <si>
    <t>Nhóm sản phẩm</t>
  </si>
  <si>
    <t>Tỷ lệ hao hụt</t>
  </si>
  <si>
    <t>Trọng lượng hao hụt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</si>
</sst>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"/>
    <numFmt numFmtId="166" formatCode="_(* #,##0_);_(* \(#,##0\);_(* &quot;-&quot;??_);_(@_)"/>
  </numFmts>
  <fonts count="12" x14ac:knownFonts="1">
    <font>
      <sz val="11"/>
      <color rgb="FF000000"/>
      <name val="Calibri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5"/>
      <color rgb="FF000000"/>
      <name val="Calibri"/>
      <family val="2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3" fontId="0" fillId="0" borderId="0" xfId="0" applyNumberFormat="1" applyFont="1" applyAlignment="1"/>
    <xf numFmtId="0" fontId="2" fillId="2" borderId="6" xfId="0" applyFont="1" applyFill="1" applyBorder="1" applyAlignment="1">
      <alignment horizontal="center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165" fontId="3" fillId="3" borderId="6" xfId="0" applyNumberFormat="1" applyFont="1" applyFill="1" applyBorder="1" applyAlignment="1">
      <alignment vertical="center"/>
    </xf>
    <xf numFmtId="0" fontId="5" fillId="0" borderId="6" xfId="0" applyFont="1" applyBorder="1" applyAlignment="1"/>
    <xf numFmtId="165" fontId="5" fillId="0" borderId="6" xfId="0" applyNumberFormat="1" applyFont="1" applyBorder="1" applyAlignment="1"/>
    <xf numFmtId="43" fontId="5" fillId="0" borderId="6" xfId="0" applyNumberFormat="1" applyFont="1" applyBorder="1" applyAlignment="1"/>
    <xf numFmtId="43" fontId="5" fillId="0" borderId="6" xfId="2" applyNumberFormat="1" applyFont="1" applyBorder="1" applyAlignment="1"/>
    <xf numFmtId="9" fontId="5" fillId="0" borderId="6" xfId="2" applyFont="1" applyBorder="1" applyAlignment="1"/>
    <xf numFmtId="0" fontId="5" fillId="0" borderId="6" xfId="0" applyFont="1" applyFill="1" applyBorder="1" applyAlignment="1"/>
    <xf numFmtId="0" fontId="6" fillId="4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5" fillId="0" borderId="6" xfId="1" applyNumberFormat="1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5" fontId="2" fillId="3" borderId="6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10" fontId="6" fillId="4" borderId="8" xfId="2" applyNumberFormat="1" applyFont="1" applyFill="1" applyBorder="1" applyAlignment="1">
      <alignment vertical="center"/>
    </xf>
    <xf numFmtId="10" fontId="6" fillId="0" borderId="8" xfId="2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/>
    <xf numFmtId="0" fontId="2" fillId="5" borderId="6" xfId="0" applyFont="1" applyFill="1" applyBorder="1" applyAlignment="1"/>
    <xf numFmtId="0" fontId="6" fillId="4" borderId="8" xfId="0" applyFont="1" applyFill="1" applyBorder="1" applyAlignment="1">
      <alignment vertical="center"/>
    </xf>
    <xf numFmtId="43" fontId="0" fillId="0" borderId="0" xfId="1" applyFont="1" applyAlignment="1"/>
    <xf numFmtId="43" fontId="2" fillId="2" borderId="6" xfId="1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9" fontId="2" fillId="2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3" fontId="3" fillId="0" borderId="6" xfId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/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3" fillId="5" borderId="6" xfId="1" applyFont="1" applyFill="1" applyBorder="1" applyAlignment="1">
      <alignment horizontal="left" vertical="center"/>
    </xf>
    <xf numFmtId="43" fontId="3" fillId="0" borderId="6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3" fontId="3" fillId="0" borderId="6" xfId="1" applyFont="1" applyBorder="1" applyAlignment="1">
      <alignment horizontal="right" vertical="center"/>
    </xf>
    <xf numFmtId="166" fontId="3" fillId="0" borderId="6" xfId="1" applyNumberFormat="1" applyFont="1" applyBorder="1" applyAlignment="1">
      <alignment horizontal="left" vertical="center"/>
    </xf>
    <xf numFmtId="43" fontId="3" fillId="0" borderId="6" xfId="1" applyFont="1" applyFill="1" applyBorder="1" applyAlignment="1">
      <alignment horizontal="right" vertical="center"/>
    </xf>
    <xf numFmtId="43" fontId="3" fillId="0" borderId="8" xfId="1" applyFont="1" applyBorder="1" applyAlignment="1">
      <alignment horizontal="left" vertical="center"/>
    </xf>
    <xf numFmtId="0" fontId="3" fillId="4" borderId="9" xfId="0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right" vertical="center"/>
    </xf>
    <xf numFmtId="0" fontId="3" fillId="6" borderId="11" xfId="0" applyFont="1" applyFill="1" applyBorder="1" applyAlignment="1">
      <alignment horizontal="right" vertical="center"/>
    </xf>
    <xf numFmtId="43" fontId="3" fillId="0" borderId="12" xfId="0" applyNumberFormat="1" applyFont="1" applyFill="1" applyBorder="1" applyAlignment="1">
      <alignment horizontal="right" vertical="center"/>
    </xf>
    <xf numFmtId="164" fontId="3" fillId="0" borderId="12" xfId="0" applyNumberFormat="1" applyFont="1" applyFill="1" applyBorder="1" applyAlignment="1">
      <alignment horizontal="right" vertical="center"/>
    </xf>
    <xf numFmtId="43" fontId="3" fillId="4" borderId="6" xfId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right" vertical="center"/>
    </xf>
    <xf numFmtId="43" fontId="6" fillId="7" borderId="6" xfId="1" applyFont="1" applyFill="1" applyBorder="1" applyAlignment="1">
      <alignment vertical="center"/>
    </xf>
    <xf numFmtId="43" fontId="0" fillId="7" borderId="6" xfId="1" applyFont="1" applyFill="1" applyBorder="1" applyAlignment="1"/>
    <xf numFmtId="49" fontId="2" fillId="2" borderId="8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6" fontId="3" fillId="0" borderId="6" xfId="1" applyNumberFormat="1" applyFont="1" applyFill="1" applyBorder="1" applyAlignment="1">
      <alignment horizontal="center" vertical="center" wrapText="1"/>
    </xf>
    <xf numFmtId="43" fontId="3" fillId="0" borderId="6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0" fontId="3" fillId="0" borderId="9" xfId="2" applyNumberFormat="1" applyFont="1" applyBorder="1" applyAlignment="1">
      <alignment horizontal="center" vertical="center"/>
    </xf>
    <xf numFmtId="10" fontId="3" fillId="0" borderId="14" xfId="2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0" fontId="11" fillId="0" borderId="6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43" fontId="2" fillId="2" borderId="6" xfId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43" fontId="2" fillId="2" borderId="11" xfId="1" applyFont="1" applyFill="1" applyBorder="1" applyAlignment="1">
      <alignment horizontal="center" vertical="center" wrapText="1"/>
    </xf>
    <xf numFmtId="9" fontId="2" fillId="2" borderId="8" xfId="0" applyNumberFormat="1" applyFont="1" applyFill="1" applyBorder="1" applyAlignment="1">
      <alignment horizontal="center" vertical="center" wrapText="1"/>
    </xf>
    <xf numFmtId="9" fontId="2" fillId="2" borderId="13" xfId="0" applyNumberFormat="1" applyFont="1" applyFill="1" applyBorder="1" applyAlignment="1">
      <alignment horizontal="center" vertical="center" wrapText="1"/>
    </xf>
    <xf numFmtId="9" fontId="2" fillId="2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6" xfId="0" applyFont="1" applyBorder="1"/>
    <xf numFmtId="0" fontId="3" fillId="0" borderId="0" xfId="0" applyFont="1" applyBorder="1" applyAlignment="1">
      <alignment vertical="center"/>
    </xf>
    <xf numFmtId="43" fontId="3" fillId="0" borderId="0" xfId="1" applyFont="1" applyFill="1" applyBorder="1" applyAlignment="1">
      <alignment horizontal="center" vertical="center" wrapText="1"/>
    </xf>
    <xf numFmtId="10" fontId="3" fillId="0" borderId="0" xfId="2" applyNumberFormat="1" applyFont="1" applyBorder="1" applyAlignment="1">
      <alignment horizontal="center" vertical="center" wrapText="1"/>
    </xf>
    <xf numFmtId="43" fontId="3" fillId="0" borderId="0" xfId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1</xdr:col>
      <xdr:colOff>952499</xdr:colOff>
      <xdr:row>2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BACDC-F7DB-4835-99A9-9A6C3BDB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493519" cy="533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B9933-6841-4DCD-B69A-84DF00894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E4986-91FC-4870-B330-D1D24CC06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67050-59BE-4156-BFDB-771C3093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234F3-E839-4D33-915D-6800BA30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1D01C-4CA3-4ADE-894A-284699657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CC21C-DF5B-4B91-8A19-7F6EAF02E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95B30-B79B-4875-A6F1-098C8ED3C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6C870-13FF-43D6-91F3-0D25C5991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C24D5-5516-4030-9517-924F63BA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E1692-CC97-4DC1-964A-F16A69FA3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60959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C5F4D-DC2C-4A2B-B5F2-A459FA37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16379" cy="533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B24F-BC91-4127-916F-649D4DF7A074}">
  <dimension ref="A1:O15"/>
  <sheetViews>
    <sheetView tabSelected="1" workbookViewId="0">
      <selection activeCell="E11" sqref="E11"/>
    </sheetView>
  </sheetViews>
  <sheetFormatPr defaultRowHeight="14.5" x14ac:dyDescent="0.35"/>
  <cols>
    <col min="2" max="2" width="16.36328125" customWidth="1"/>
    <col min="3" max="3" width="19" bestFit="1" customWidth="1"/>
    <col min="4" max="4" width="16.6328125" customWidth="1"/>
    <col min="5" max="5" width="14.81640625" bestFit="1" customWidth="1"/>
    <col min="6" max="6" width="19.36328125" bestFit="1" customWidth="1"/>
    <col min="7" max="7" width="13" customWidth="1"/>
    <col min="8" max="8" width="17.453125" customWidth="1"/>
  </cols>
  <sheetData>
    <row r="1" spans="1:15" x14ac:dyDescent="0.35">
      <c r="A1" s="44"/>
      <c r="B1" s="60"/>
      <c r="C1" s="60"/>
      <c r="D1" s="44"/>
      <c r="E1" s="61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x14ac:dyDescent="0.35">
      <c r="A2" s="44"/>
      <c r="B2" s="60"/>
      <c r="C2" s="60"/>
      <c r="D2" s="44"/>
      <c r="E2" s="61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30.65" customHeight="1" x14ac:dyDescent="0.35">
      <c r="A3" s="80" t="s">
        <v>79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 x14ac:dyDescent="0.35">
      <c r="A4" s="81" t="s">
        <v>70</v>
      </c>
      <c r="B4" s="81"/>
      <c r="C4" s="81"/>
      <c r="D4" s="81"/>
      <c r="E4" s="81"/>
      <c r="F4" s="81"/>
      <c r="G4" s="81"/>
      <c r="H4" s="82" t="s">
        <v>80</v>
      </c>
      <c r="I4" s="82"/>
      <c r="J4" s="82"/>
      <c r="K4" s="62"/>
      <c r="L4" s="62"/>
      <c r="M4" s="62"/>
      <c r="N4" s="62"/>
      <c r="O4" s="62"/>
    </row>
    <row r="5" spans="1:15" ht="28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2"/>
      <c r="N5" s="42"/>
      <c r="O5" s="42"/>
    </row>
    <row r="6" spans="1:1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4"/>
      <c r="N6" s="44"/>
      <c r="O6" s="44"/>
    </row>
    <row r="7" spans="1:15" x14ac:dyDescent="0.35">
      <c r="A7" s="50">
        <v>2</v>
      </c>
      <c r="B7" s="52" t="s">
        <v>76</v>
      </c>
      <c r="C7" s="54"/>
      <c r="D7" s="56">
        <f>SUM(C14:C104)</f>
        <v>0</v>
      </c>
      <c r="E7" s="51">
        <f>IF(D7=0,0,D7/C6)</f>
        <v>0</v>
      </c>
      <c r="F7" s="84"/>
      <c r="G7" s="86"/>
      <c r="H7" s="62"/>
      <c r="I7" s="62"/>
      <c r="J7" s="62"/>
      <c r="K7" s="62"/>
      <c r="L7" s="62"/>
      <c r="M7" s="62"/>
      <c r="N7" s="62"/>
      <c r="O7" s="44"/>
    </row>
    <row r="8" spans="1:15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62"/>
      <c r="I8" s="62"/>
      <c r="J8" s="62"/>
      <c r="K8" s="62"/>
      <c r="L8" s="62"/>
      <c r="M8" s="62"/>
      <c r="N8" s="62"/>
      <c r="O8" s="44"/>
    </row>
    <row r="9" spans="1:15" x14ac:dyDescent="0.35">
      <c r="A9" s="63"/>
      <c r="B9" s="63"/>
      <c r="C9" s="63"/>
      <c r="D9" s="63"/>
      <c r="E9" s="68"/>
      <c r="F9" s="68"/>
      <c r="G9" s="68"/>
      <c r="H9" s="62"/>
      <c r="I9" s="62"/>
      <c r="J9" s="62"/>
      <c r="K9" s="62"/>
      <c r="L9" s="62"/>
      <c r="M9" s="62"/>
      <c r="N9" s="62"/>
      <c r="O9" s="62"/>
    </row>
    <row r="10" spans="1:15" s="75" customFormat="1" ht="28" x14ac:dyDescent="0.35">
      <c r="A10" s="71" t="s">
        <v>5</v>
      </c>
      <c r="B10" s="72" t="s">
        <v>84</v>
      </c>
      <c r="C10" s="69" t="s">
        <v>85</v>
      </c>
      <c r="D10" s="70" t="s">
        <v>86</v>
      </c>
      <c r="E10" s="105"/>
      <c r="F10" s="106"/>
      <c r="G10" s="106"/>
      <c r="H10" s="106"/>
      <c r="I10" s="73"/>
      <c r="J10" s="73"/>
      <c r="K10" s="73"/>
      <c r="L10" s="73"/>
      <c r="M10" s="73"/>
      <c r="N10" s="73"/>
      <c r="O10" s="74"/>
    </row>
    <row r="11" spans="1:15" x14ac:dyDescent="0.35">
      <c r="A11" s="59"/>
      <c r="B11" s="60"/>
      <c r="C11" s="60"/>
      <c r="D11" s="44"/>
      <c r="E11" s="107"/>
      <c r="F11" s="104"/>
      <c r="G11" s="104"/>
      <c r="H11" s="104"/>
      <c r="I11" s="44"/>
      <c r="J11" s="44"/>
      <c r="K11" s="44"/>
      <c r="L11" s="44"/>
      <c r="M11" s="44"/>
      <c r="N11" s="44"/>
      <c r="O11" s="44"/>
    </row>
    <row r="12" spans="1:15" ht="28" x14ac:dyDescent="0.35">
      <c r="A12" s="76" t="s">
        <v>5</v>
      </c>
      <c r="B12" s="78" t="s">
        <v>6</v>
      </c>
      <c r="C12" s="78" t="s">
        <v>75</v>
      </c>
      <c r="D12" s="66" t="s">
        <v>58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1:15" x14ac:dyDescent="0.35">
      <c r="A13" s="77"/>
      <c r="B13" s="79"/>
      <c r="C13" s="79"/>
      <c r="D13" s="67" t="s">
        <v>57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x14ac:dyDescent="0.35">
      <c r="A14" s="59" t="s">
        <v>81</v>
      </c>
      <c r="B14" s="60" t="s">
        <v>82</v>
      </c>
      <c r="C14" s="60" t="s">
        <v>83</v>
      </c>
      <c r="D14" s="44"/>
      <c r="E14" s="61"/>
      <c r="F14" s="44"/>
      <c r="G14" s="44"/>
      <c r="H14" s="44"/>
      <c r="I14" s="44"/>
      <c r="J14" s="44"/>
      <c r="K14" s="44"/>
      <c r="L14" s="44"/>
      <c r="M14" s="44"/>
      <c r="N14" s="44"/>
      <c r="O14" s="44"/>
    </row>
    <row r="15" spans="1:15" x14ac:dyDescent="0.35">
      <c r="A15" s="59"/>
      <c r="B15" s="60"/>
      <c r="C15" s="60"/>
      <c r="D15" s="44"/>
      <c r="E15" s="61"/>
      <c r="F15" s="44"/>
      <c r="G15" s="60"/>
      <c r="H15" s="60"/>
      <c r="I15" s="60"/>
      <c r="J15" s="60"/>
      <c r="K15" s="60"/>
      <c r="L15" s="60"/>
      <c r="M15" s="60"/>
      <c r="N15" s="60"/>
      <c r="O15" s="60"/>
    </row>
  </sheetData>
  <mergeCells count="8">
    <mergeCell ref="A12:A13"/>
    <mergeCell ref="B12:B13"/>
    <mergeCell ref="C12:C13"/>
    <mergeCell ref="A3:O3"/>
    <mergeCell ref="A4:G4"/>
    <mergeCell ref="H4:J4"/>
    <mergeCell ref="F6:F8"/>
    <mergeCell ref="G6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81B6-83C8-4053-8C3E-3825DD94DCF9}">
  <dimension ref="A3:O89"/>
  <sheetViews>
    <sheetView workbookViewId="0">
      <selection activeCell="D12" sqref="D12:O33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132C-BC94-4858-B1E6-41DB89641CA1}">
  <dimension ref="A3:O89"/>
  <sheetViews>
    <sheetView topLeftCell="D5"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824B-1B85-44D5-BF1F-384A38637D93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DCEA-91D0-4153-A0E7-7DE6F56F1F5F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E64-86C0-4EA1-A569-2BB292CF8B6E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18DB-C212-47CF-85B0-453F26A18E4F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6FB8-5B80-4AA2-A3E9-52A9AE95433A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690E-6336-4277-938D-901A9857897C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14A1-105D-4426-A0E4-B0BED8F1B855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52F8-71C8-4945-A619-EDB4A93B49CF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7FBC-D09D-43D9-A1B9-9C552C76ACCD}">
  <dimension ref="A3:O89"/>
  <sheetViews>
    <sheetView workbookViewId="0">
      <selection activeCell="H14" sqref="H14"/>
    </sheetView>
  </sheetViews>
  <sheetFormatPr defaultColWidth="14.453125" defaultRowHeight="15" customHeight="1" x14ac:dyDescent="0.35"/>
  <cols>
    <col min="1" max="1" width="6.6328125" bestFit="1" customWidth="1"/>
    <col min="2" max="3" width="15.1796875" style="34" customWidth="1"/>
    <col min="4" max="4" width="11.36328125" customWidth="1"/>
    <col min="5" max="5" width="11.36328125" style="32" customWidth="1"/>
    <col min="6" max="15" width="11.36328125" customWidth="1"/>
  </cols>
  <sheetData>
    <row r="3" spans="1:15" ht="27.5" customHeight="1" x14ac:dyDescent="0.35">
      <c r="A3" s="87" t="s">
        <v>79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20" x14ac:dyDescent="0.35">
      <c r="A4" s="88" t="s">
        <v>70</v>
      </c>
      <c r="B4" s="88"/>
      <c r="C4" s="88"/>
      <c r="D4" s="88"/>
      <c r="E4" s="88"/>
      <c r="F4" s="88"/>
      <c r="G4" s="88"/>
      <c r="H4" s="89"/>
      <c r="I4" s="89"/>
      <c r="J4" s="89"/>
      <c r="K4" s="38"/>
      <c r="L4" s="38"/>
      <c r="M4" s="38"/>
      <c r="N4" s="38"/>
      <c r="O4" s="38"/>
    </row>
    <row r="5" spans="1:15" s="40" customFormat="1" ht="29.5" customHeight="1" x14ac:dyDescent="0.35">
      <c r="A5" s="47"/>
      <c r="B5" s="47"/>
      <c r="C5" s="48" t="s">
        <v>72</v>
      </c>
      <c r="D5" s="48" t="s">
        <v>73</v>
      </c>
      <c r="E5" s="48" t="s">
        <v>74</v>
      </c>
      <c r="F5" s="48" t="s">
        <v>77</v>
      </c>
      <c r="G5" s="48" t="s">
        <v>78</v>
      </c>
      <c r="H5" s="42"/>
      <c r="I5" s="42"/>
      <c r="J5" s="42"/>
      <c r="K5" s="42"/>
      <c r="L5" s="42"/>
      <c r="M5" s="43"/>
      <c r="N5" s="43"/>
    </row>
    <row r="6" spans="1:15" s="41" customFormat="1" ht="20.5" x14ac:dyDescent="0.35">
      <c r="A6" s="50">
        <v>1</v>
      </c>
      <c r="B6" s="37" t="s">
        <v>71</v>
      </c>
      <c r="C6" s="53"/>
      <c r="D6" s="58"/>
      <c r="E6" s="49">
        <f>IF(C6=0,0,D6/C6)</f>
        <v>0</v>
      </c>
      <c r="F6" s="83">
        <f>IF(D6=0,0,D7/D6)</f>
        <v>0</v>
      </c>
      <c r="G6" s="86">
        <f>IF(D6=0,0,100%-F6)</f>
        <v>0</v>
      </c>
      <c r="H6" s="44"/>
      <c r="I6" s="44"/>
      <c r="J6" s="44"/>
      <c r="K6" s="44"/>
      <c r="L6" s="44"/>
      <c r="M6" s="45"/>
      <c r="N6" s="45"/>
    </row>
    <row r="7" spans="1:15" ht="20" x14ac:dyDescent="0.35">
      <c r="A7" s="50">
        <v>2</v>
      </c>
      <c r="B7" s="52" t="s">
        <v>76</v>
      </c>
      <c r="C7" s="54"/>
      <c r="D7" s="56">
        <f>SUM(C12:C130)</f>
        <v>0</v>
      </c>
      <c r="E7" s="51">
        <f>IF(D7=0,0,D7/C6)</f>
        <v>0</v>
      </c>
      <c r="F7" s="84"/>
      <c r="G7" s="86"/>
      <c r="H7" s="38"/>
      <c r="I7" s="38"/>
      <c r="J7" s="38"/>
      <c r="K7" s="38"/>
      <c r="L7" s="38"/>
      <c r="M7" s="38"/>
      <c r="N7" s="38"/>
    </row>
    <row r="8" spans="1:15" ht="20" x14ac:dyDescent="0.35">
      <c r="A8" s="50">
        <v>3</v>
      </c>
      <c r="B8" s="52" t="s">
        <v>56</v>
      </c>
      <c r="C8" s="55"/>
      <c r="D8" s="57">
        <f>D6-D7</f>
        <v>0</v>
      </c>
      <c r="E8" s="51">
        <f>IF(C6=0,0,D8/C6)</f>
        <v>0</v>
      </c>
      <c r="F8" s="85"/>
      <c r="G8" s="86"/>
      <c r="H8" s="38"/>
      <c r="I8" s="38"/>
      <c r="J8" s="38"/>
      <c r="K8" s="38"/>
      <c r="L8" s="38"/>
      <c r="M8" s="38"/>
      <c r="N8" s="38"/>
    </row>
    <row r="9" spans="1:15" ht="20" x14ac:dyDescent="0.35">
      <c r="A9" s="39"/>
      <c r="B9" s="39"/>
      <c r="C9" s="39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</row>
    <row r="10" spans="1:15" ht="21" customHeight="1" x14ac:dyDescent="0.35">
      <c r="A10" s="90" t="s">
        <v>5</v>
      </c>
      <c r="B10" s="91" t="s">
        <v>6</v>
      </c>
      <c r="C10" s="92" t="s">
        <v>75</v>
      </c>
      <c r="D10" s="94" t="s">
        <v>58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6"/>
    </row>
    <row r="11" spans="1:15" ht="21" customHeight="1" x14ac:dyDescent="0.35">
      <c r="A11" s="90"/>
      <c r="B11" s="91"/>
      <c r="C11" s="93"/>
      <c r="D11" s="35" t="s">
        <v>57</v>
      </c>
      <c r="E11" s="33" t="s">
        <v>59</v>
      </c>
      <c r="F11" s="33" t="s">
        <v>60</v>
      </c>
      <c r="G11" s="35" t="s">
        <v>61</v>
      </c>
      <c r="H11" s="33" t="s">
        <v>62</v>
      </c>
      <c r="I11" s="33" t="s">
        <v>63</v>
      </c>
      <c r="J11" s="35" t="s">
        <v>64</v>
      </c>
      <c r="K11" s="33" t="s">
        <v>65</v>
      </c>
      <c r="L11" s="33" t="s">
        <v>66</v>
      </c>
      <c r="M11" s="35" t="s">
        <v>67</v>
      </c>
      <c r="N11" s="33" t="s">
        <v>68</v>
      </c>
      <c r="O11" s="33" t="s">
        <v>69</v>
      </c>
    </row>
    <row r="12" spans="1:15" ht="22" customHeight="1" x14ac:dyDescent="0.35">
      <c r="A12" s="36">
        <v>1</v>
      </c>
      <c r="B12" s="37" t="s">
        <v>7</v>
      </c>
      <c r="C12" s="46">
        <f>SUM(D12:O12)</f>
        <v>0</v>
      </c>
      <c r="D12" s="64"/>
      <c r="E12" s="64"/>
      <c r="F12" s="64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22" customHeight="1" x14ac:dyDescent="0.35">
      <c r="A13" s="36">
        <v>2</v>
      </c>
      <c r="B13" s="37" t="s">
        <v>12</v>
      </c>
      <c r="C13" s="46">
        <f>SUM(D13:O13)</f>
        <v>0</v>
      </c>
      <c r="D13" s="64"/>
      <c r="E13" s="64"/>
      <c r="F13" s="64"/>
      <c r="G13" s="65"/>
      <c r="H13" s="65"/>
      <c r="I13" s="65"/>
      <c r="J13" s="65"/>
      <c r="K13" s="65"/>
      <c r="L13" s="65"/>
      <c r="M13" s="65"/>
      <c r="N13" s="65"/>
      <c r="O13" s="65"/>
    </row>
    <row r="14" spans="1:15" ht="22" customHeight="1" x14ac:dyDescent="0.35">
      <c r="A14" s="36">
        <v>3</v>
      </c>
      <c r="B14" s="37" t="s">
        <v>14</v>
      </c>
      <c r="C14" s="46">
        <f>SUM(D14:O14)</f>
        <v>0</v>
      </c>
      <c r="D14" s="64"/>
      <c r="E14" s="64"/>
      <c r="F14" s="64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22" customHeight="1" x14ac:dyDescent="0.35">
      <c r="A15" s="36">
        <v>4</v>
      </c>
      <c r="B15" s="37" t="s">
        <v>15</v>
      </c>
      <c r="C15" s="46">
        <f t="shared" ref="C15:C33" si="0">SUM(D15:O15)</f>
        <v>0</v>
      </c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22" customHeight="1" x14ac:dyDescent="0.35">
      <c r="A16" s="36">
        <v>5</v>
      </c>
      <c r="B16" s="37" t="s">
        <v>18</v>
      </c>
      <c r="C16" s="46">
        <f t="shared" si="0"/>
        <v>0</v>
      </c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22" customHeight="1" x14ac:dyDescent="0.35">
      <c r="A17" s="36">
        <v>6</v>
      </c>
      <c r="B17" s="37" t="s">
        <v>19</v>
      </c>
      <c r="C17" s="46">
        <f t="shared" si="0"/>
        <v>0</v>
      </c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</row>
    <row r="18" spans="1:15" ht="22" customHeight="1" x14ac:dyDescent="0.35">
      <c r="A18" s="36">
        <v>7</v>
      </c>
      <c r="B18" s="37" t="s">
        <v>21</v>
      </c>
      <c r="C18" s="46">
        <f t="shared" si="0"/>
        <v>0</v>
      </c>
      <c r="D18" s="64"/>
      <c r="E18" s="64"/>
      <c r="F18" s="64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22" customHeight="1" x14ac:dyDescent="0.35">
      <c r="A19" s="36">
        <v>8</v>
      </c>
      <c r="B19" s="37" t="s">
        <v>22</v>
      </c>
      <c r="C19" s="46">
        <f t="shared" si="0"/>
        <v>0</v>
      </c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22" customHeight="1" x14ac:dyDescent="0.35">
      <c r="A20" s="36">
        <v>9</v>
      </c>
      <c r="B20" s="37" t="s">
        <v>23</v>
      </c>
      <c r="C20" s="46">
        <f t="shared" si="0"/>
        <v>0</v>
      </c>
      <c r="D20" s="64"/>
      <c r="E20" s="64"/>
      <c r="F20" s="64"/>
      <c r="G20" s="65"/>
      <c r="H20" s="65"/>
      <c r="I20" s="65"/>
      <c r="J20" s="65"/>
      <c r="K20" s="65"/>
      <c r="L20" s="65"/>
      <c r="M20" s="65"/>
      <c r="N20" s="65"/>
      <c r="O20" s="65"/>
    </row>
    <row r="21" spans="1:15" ht="22" customHeight="1" x14ac:dyDescent="0.35">
      <c r="A21" s="36">
        <v>10</v>
      </c>
      <c r="B21" s="37" t="s">
        <v>24</v>
      </c>
      <c r="C21" s="46">
        <f t="shared" si="0"/>
        <v>0</v>
      </c>
      <c r="D21" s="64"/>
      <c r="E21" s="64"/>
      <c r="F21" s="64"/>
      <c r="G21" s="65"/>
      <c r="H21" s="65"/>
      <c r="I21" s="65"/>
      <c r="J21" s="65"/>
      <c r="K21" s="65"/>
      <c r="L21" s="65"/>
      <c r="M21" s="65"/>
      <c r="N21" s="65"/>
      <c r="O21" s="65"/>
    </row>
    <row r="22" spans="1:15" ht="22" customHeight="1" x14ac:dyDescent="0.35">
      <c r="A22" s="36">
        <v>11</v>
      </c>
      <c r="B22" s="37" t="s">
        <v>27</v>
      </c>
      <c r="C22" s="46">
        <f t="shared" si="0"/>
        <v>0</v>
      </c>
      <c r="D22" s="64"/>
      <c r="E22" s="64"/>
      <c r="F22" s="64"/>
      <c r="G22" s="65"/>
      <c r="H22" s="65"/>
      <c r="I22" s="65"/>
      <c r="J22" s="65"/>
      <c r="K22" s="65"/>
      <c r="L22" s="65"/>
      <c r="M22" s="65"/>
      <c r="N22" s="65"/>
      <c r="O22" s="65"/>
    </row>
    <row r="23" spans="1:15" ht="22" customHeight="1" x14ac:dyDescent="0.35">
      <c r="A23" s="36">
        <v>12</v>
      </c>
      <c r="B23" s="37" t="s">
        <v>28</v>
      </c>
      <c r="C23" s="46">
        <f t="shared" si="0"/>
        <v>0</v>
      </c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22" customHeight="1" x14ac:dyDescent="0.35">
      <c r="A24" s="36">
        <v>13</v>
      </c>
      <c r="B24" s="37" t="s">
        <v>30</v>
      </c>
      <c r="C24" s="46">
        <f t="shared" si="0"/>
        <v>0</v>
      </c>
      <c r="D24" s="64"/>
      <c r="E24" s="64"/>
      <c r="F24" s="64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22" customHeight="1" x14ac:dyDescent="0.35">
      <c r="A25" s="36">
        <v>14</v>
      </c>
      <c r="B25" s="37" t="s">
        <v>33</v>
      </c>
      <c r="C25" s="46">
        <f t="shared" si="0"/>
        <v>0</v>
      </c>
      <c r="D25" s="64"/>
      <c r="E25" s="64"/>
      <c r="F25" s="64"/>
      <c r="G25" s="65"/>
      <c r="H25" s="65"/>
      <c r="I25" s="65"/>
      <c r="J25" s="65"/>
      <c r="K25" s="65"/>
      <c r="L25" s="65"/>
      <c r="M25" s="65"/>
      <c r="N25" s="65"/>
      <c r="O25" s="65"/>
    </row>
    <row r="26" spans="1:15" ht="22" customHeight="1" x14ac:dyDescent="0.35">
      <c r="A26" s="36">
        <v>15</v>
      </c>
      <c r="B26" s="37" t="s">
        <v>34</v>
      </c>
      <c r="C26" s="46">
        <f t="shared" si="0"/>
        <v>0</v>
      </c>
      <c r="D26" s="64"/>
      <c r="E26" s="64"/>
      <c r="F26" s="64"/>
      <c r="G26" s="65"/>
      <c r="H26" s="65"/>
      <c r="I26" s="65"/>
      <c r="J26" s="65"/>
      <c r="K26" s="65"/>
      <c r="L26" s="65"/>
      <c r="M26" s="65"/>
      <c r="N26" s="65"/>
      <c r="O26" s="65"/>
    </row>
    <row r="27" spans="1:15" ht="22" customHeight="1" x14ac:dyDescent="0.35">
      <c r="A27" s="36">
        <v>16</v>
      </c>
      <c r="B27" s="37" t="s">
        <v>35</v>
      </c>
      <c r="C27" s="46">
        <f t="shared" si="0"/>
        <v>0</v>
      </c>
      <c r="D27" s="64"/>
      <c r="E27" s="64"/>
      <c r="F27" s="64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22" customHeight="1" x14ac:dyDescent="0.35">
      <c r="A28" s="36">
        <v>17</v>
      </c>
      <c r="B28" s="37" t="s">
        <v>36</v>
      </c>
      <c r="C28" s="46">
        <f t="shared" si="0"/>
        <v>0</v>
      </c>
      <c r="D28" s="64"/>
      <c r="E28" s="64"/>
      <c r="F28" s="64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22" customHeight="1" x14ac:dyDescent="0.35">
      <c r="A29" s="36">
        <v>18</v>
      </c>
      <c r="B29" s="37" t="s">
        <v>39</v>
      </c>
      <c r="C29" s="46">
        <f t="shared" si="0"/>
        <v>0</v>
      </c>
      <c r="D29" s="64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22" customHeight="1" x14ac:dyDescent="0.35">
      <c r="A30" s="36">
        <v>19</v>
      </c>
      <c r="B30" s="37" t="s">
        <v>41</v>
      </c>
      <c r="C30" s="46">
        <f t="shared" si="0"/>
        <v>0</v>
      </c>
      <c r="D30" s="64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22" customHeight="1" x14ac:dyDescent="0.35">
      <c r="A31" s="36">
        <v>20</v>
      </c>
      <c r="B31" s="37" t="s">
        <v>42</v>
      </c>
      <c r="C31" s="46">
        <f t="shared" si="0"/>
        <v>0</v>
      </c>
      <c r="D31" s="64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22" customHeight="1" x14ac:dyDescent="0.35">
      <c r="A32" s="36">
        <v>21</v>
      </c>
      <c r="B32" s="37" t="s">
        <v>43</v>
      </c>
      <c r="C32" s="46">
        <f t="shared" si="0"/>
        <v>0</v>
      </c>
      <c r="D32" s="64"/>
      <c r="E32" s="64"/>
      <c r="F32" s="64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22" customHeight="1" x14ac:dyDescent="0.35">
      <c r="A33" s="36">
        <v>22</v>
      </c>
      <c r="B33" s="37" t="s">
        <v>44</v>
      </c>
      <c r="C33" s="46">
        <f t="shared" si="0"/>
        <v>0</v>
      </c>
      <c r="D33" s="64"/>
      <c r="E33" s="64"/>
      <c r="F33" s="64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4.25" customHeight="1" x14ac:dyDescent="0.35">
      <c r="A34" s="1"/>
    </row>
    <row r="35" spans="1:15" ht="14.25" customHeight="1" x14ac:dyDescent="0.35">
      <c r="A35" s="1"/>
    </row>
    <row r="36" spans="1:15" ht="14.25" customHeight="1" x14ac:dyDescent="0.35">
      <c r="A36" s="1"/>
    </row>
    <row r="37" spans="1:15" ht="14.25" customHeight="1" x14ac:dyDescent="0.35">
      <c r="A37" s="1"/>
    </row>
    <row r="38" spans="1:15" ht="14.25" customHeight="1" x14ac:dyDescent="0.35">
      <c r="A38" s="1"/>
    </row>
    <row r="39" spans="1:15" ht="14.25" customHeight="1" x14ac:dyDescent="0.35">
      <c r="A39" s="1"/>
    </row>
    <row r="40" spans="1:15" s="34" customFormat="1" ht="14.25" customHeight="1" x14ac:dyDescent="0.35">
      <c r="A40" s="1"/>
      <c r="D40"/>
      <c r="E40" s="32"/>
      <c r="F40"/>
    </row>
    <row r="41" spans="1:15" s="34" customFormat="1" ht="14.25" customHeight="1" x14ac:dyDescent="0.35">
      <c r="A41" s="1"/>
      <c r="D41"/>
      <c r="E41" s="32"/>
      <c r="F41"/>
    </row>
    <row r="42" spans="1:15" s="34" customFormat="1" ht="14.25" customHeight="1" x14ac:dyDescent="0.35">
      <c r="A42" s="1"/>
      <c r="D42"/>
      <c r="E42" s="32"/>
      <c r="F42"/>
    </row>
    <row r="43" spans="1:15" s="34" customFormat="1" ht="14.25" customHeight="1" x14ac:dyDescent="0.35">
      <c r="A43" s="1"/>
      <c r="D43"/>
      <c r="E43" s="32"/>
      <c r="F43"/>
    </row>
    <row r="44" spans="1:15" s="34" customFormat="1" ht="14.25" customHeight="1" x14ac:dyDescent="0.35">
      <c r="A44" s="1"/>
      <c r="D44"/>
      <c r="E44" s="32"/>
      <c r="F44"/>
    </row>
    <row r="45" spans="1:15" s="34" customFormat="1" ht="14.25" customHeight="1" x14ac:dyDescent="0.35">
      <c r="A45" s="1"/>
      <c r="D45"/>
      <c r="E45" s="32"/>
      <c r="F45"/>
    </row>
    <row r="46" spans="1:15" s="34" customFormat="1" ht="14.25" customHeight="1" x14ac:dyDescent="0.35">
      <c r="A46" s="1"/>
      <c r="D46"/>
      <c r="E46" s="32"/>
      <c r="F46"/>
    </row>
    <row r="47" spans="1:15" s="34" customFormat="1" ht="14.25" customHeight="1" x14ac:dyDescent="0.35">
      <c r="A47" s="1"/>
      <c r="D47"/>
      <c r="E47" s="32"/>
      <c r="F47"/>
    </row>
    <row r="48" spans="1:15" s="34" customFormat="1" ht="14.25" customHeight="1" x14ac:dyDescent="0.35">
      <c r="A48" s="1"/>
      <c r="D48"/>
      <c r="E48" s="32"/>
      <c r="F48"/>
    </row>
    <row r="49" spans="1:6" s="34" customFormat="1" ht="14.25" customHeight="1" x14ac:dyDescent="0.35">
      <c r="A49" s="1"/>
      <c r="D49"/>
      <c r="E49" s="32"/>
      <c r="F49"/>
    </row>
    <row r="50" spans="1:6" s="34" customFormat="1" ht="14.25" customHeight="1" x14ac:dyDescent="0.35">
      <c r="A50" s="1"/>
      <c r="D50"/>
      <c r="E50" s="32"/>
      <c r="F50"/>
    </row>
    <row r="51" spans="1:6" s="34" customFormat="1" ht="14.25" customHeight="1" x14ac:dyDescent="0.35">
      <c r="A51" s="1"/>
      <c r="D51"/>
      <c r="E51" s="32"/>
      <c r="F51"/>
    </row>
    <row r="52" spans="1:6" s="34" customFormat="1" ht="14.25" customHeight="1" x14ac:dyDescent="0.35">
      <c r="A52" s="1"/>
      <c r="D52"/>
      <c r="E52" s="32"/>
      <c r="F52"/>
    </row>
    <row r="53" spans="1:6" s="34" customFormat="1" ht="14.25" customHeight="1" x14ac:dyDescent="0.35">
      <c r="A53" s="1"/>
      <c r="D53"/>
      <c r="E53" s="32"/>
      <c r="F53"/>
    </row>
    <row r="54" spans="1:6" s="34" customFormat="1" ht="14.25" customHeight="1" x14ac:dyDescent="0.35">
      <c r="A54" s="1"/>
      <c r="D54"/>
      <c r="E54" s="32"/>
      <c r="F54"/>
    </row>
    <row r="55" spans="1:6" s="34" customFormat="1" ht="14.25" customHeight="1" x14ac:dyDescent="0.35">
      <c r="A55" s="1"/>
      <c r="D55"/>
      <c r="E55" s="32"/>
      <c r="F55"/>
    </row>
    <row r="56" spans="1:6" s="34" customFormat="1" ht="14.25" customHeight="1" x14ac:dyDescent="0.35">
      <c r="A56" s="1"/>
      <c r="D56"/>
      <c r="E56" s="32"/>
      <c r="F56"/>
    </row>
    <row r="57" spans="1:6" s="34" customFormat="1" ht="14.25" customHeight="1" x14ac:dyDescent="0.35">
      <c r="A57" s="1"/>
      <c r="D57"/>
      <c r="E57" s="32"/>
      <c r="F57"/>
    </row>
    <row r="58" spans="1:6" s="34" customFormat="1" ht="14.25" customHeight="1" x14ac:dyDescent="0.35">
      <c r="A58" s="1"/>
      <c r="D58"/>
      <c r="E58" s="32"/>
      <c r="F58"/>
    </row>
    <row r="59" spans="1:6" s="34" customFormat="1" ht="14.25" customHeight="1" x14ac:dyDescent="0.35">
      <c r="A59" s="1"/>
      <c r="D59"/>
      <c r="E59" s="32"/>
      <c r="F59"/>
    </row>
    <row r="60" spans="1:6" s="34" customFormat="1" ht="14.25" customHeight="1" x14ac:dyDescent="0.35">
      <c r="A60" s="1"/>
      <c r="D60"/>
      <c r="E60" s="32"/>
      <c r="F60"/>
    </row>
    <row r="61" spans="1:6" s="34" customFormat="1" ht="14.25" customHeight="1" x14ac:dyDescent="0.35">
      <c r="A61" s="1"/>
      <c r="D61"/>
      <c r="E61" s="32"/>
      <c r="F61"/>
    </row>
    <row r="62" spans="1:6" s="34" customFormat="1" ht="14.25" customHeight="1" x14ac:dyDescent="0.35">
      <c r="A62" s="1"/>
      <c r="D62"/>
      <c r="E62" s="32"/>
      <c r="F62"/>
    </row>
    <row r="63" spans="1:6" s="34" customFormat="1" ht="14.25" customHeight="1" x14ac:dyDescent="0.35">
      <c r="A63" s="1"/>
      <c r="D63"/>
      <c r="E63" s="32"/>
      <c r="F63"/>
    </row>
    <row r="64" spans="1:6" s="34" customFormat="1" ht="14.25" customHeight="1" x14ac:dyDescent="0.35">
      <c r="A64" s="1"/>
      <c r="D64"/>
      <c r="E64" s="32"/>
      <c r="F64"/>
    </row>
    <row r="65" spans="1:6" s="34" customFormat="1" ht="14.25" customHeight="1" x14ac:dyDescent="0.35">
      <c r="A65" s="1"/>
      <c r="D65"/>
      <c r="E65" s="32"/>
      <c r="F65"/>
    </row>
    <row r="66" spans="1:6" s="34" customFormat="1" ht="14.25" customHeight="1" x14ac:dyDescent="0.35">
      <c r="A66" s="1"/>
      <c r="D66"/>
      <c r="E66" s="32"/>
      <c r="F66"/>
    </row>
    <row r="67" spans="1:6" s="34" customFormat="1" ht="14.25" customHeight="1" x14ac:dyDescent="0.35">
      <c r="A67" s="1"/>
      <c r="D67"/>
      <c r="E67" s="32"/>
      <c r="F67"/>
    </row>
    <row r="68" spans="1:6" s="34" customFormat="1" ht="14.25" customHeight="1" x14ac:dyDescent="0.35">
      <c r="A68" s="1"/>
      <c r="D68"/>
      <c r="E68" s="32"/>
      <c r="F68"/>
    </row>
    <row r="69" spans="1:6" s="34" customFormat="1" ht="14.25" customHeight="1" x14ac:dyDescent="0.35">
      <c r="A69" s="1"/>
      <c r="D69"/>
      <c r="E69" s="32"/>
      <c r="F69"/>
    </row>
    <row r="70" spans="1:6" s="34" customFormat="1" ht="14.25" customHeight="1" x14ac:dyDescent="0.35">
      <c r="A70" s="1"/>
      <c r="D70"/>
      <c r="E70" s="32"/>
      <c r="F70"/>
    </row>
    <row r="71" spans="1:6" s="34" customFormat="1" ht="14.25" customHeight="1" x14ac:dyDescent="0.35">
      <c r="A71" s="1"/>
      <c r="D71"/>
      <c r="E71" s="32"/>
      <c r="F71"/>
    </row>
    <row r="72" spans="1:6" s="34" customFormat="1" ht="14.25" customHeight="1" x14ac:dyDescent="0.35">
      <c r="A72" s="1"/>
      <c r="D72"/>
      <c r="E72" s="32"/>
      <c r="F72"/>
    </row>
    <row r="73" spans="1:6" s="34" customFormat="1" ht="14.25" customHeight="1" x14ac:dyDescent="0.35">
      <c r="A73" s="1"/>
      <c r="D73"/>
      <c r="E73" s="32"/>
      <c r="F73"/>
    </row>
    <row r="74" spans="1:6" s="34" customFormat="1" ht="14.25" customHeight="1" x14ac:dyDescent="0.35">
      <c r="A74" s="1"/>
      <c r="D74"/>
      <c r="E74" s="32"/>
      <c r="F74"/>
    </row>
    <row r="75" spans="1:6" s="34" customFormat="1" ht="14.25" customHeight="1" x14ac:dyDescent="0.35">
      <c r="A75" s="1"/>
      <c r="D75"/>
      <c r="E75" s="32"/>
      <c r="F75"/>
    </row>
    <row r="76" spans="1:6" s="34" customFormat="1" ht="14.25" customHeight="1" x14ac:dyDescent="0.35">
      <c r="A76" s="1"/>
      <c r="D76"/>
      <c r="E76" s="32"/>
      <c r="F76"/>
    </row>
    <row r="77" spans="1:6" s="34" customFormat="1" ht="14.25" customHeight="1" x14ac:dyDescent="0.35">
      <c r="A77" s="1"/>
      <c r="D77"/>
      <c r="E77" s="32"/>
      <c r="F77"/>
    </row>
    <row r="78" spans="1:6" s="34" customFormat="1" ht="14.25" customHeight="1" x14ac:dyDescent="0.35">
      <c r="A78" s="1"/>
      <c r="D78"/>
      <c r="E78" s="32"/>
      <c r="F78"/>
    </row>
    <row r="79" spans="1:6" s="34" customFormat="1" ht="14.25" customHeight="1" x14ac:dyDescent="0.35">
      <c r="A79" s="1"/>
      <c r="D79"/>
      <c r="E79" s="32"/>
      <c r="F79"/>
    </row>
    <row r="80" spans="1:6" s="34" customFormat="1" ht="14.25" customHeight="1" x14ac:dyDescent="0.35">
      <c r="A80" s="1"/>
      <c r="D80"/>
      <c r="E80" s="32"/>
      <c r="F80"/>
    </row>
    <row r="81" spans="1:6" s="34" customFormat="1" ht="14.25" customHeight="1" x14ac:dyDescent="0.35">
      <c r="A81" s="1"/>
      <c r="D81"/>
      <c r="E81" s="32"/>
      <c r="F81"/>
    </row>
    <row r="82" spans="1:6" s="34" customFormat="1" ht="14.25" customHeight="1" x14ac:dyDescent="0.35">
      <c r="A82" s="1"/>
      <c r="D82"/>
      <c r="E82" s="32"/>
      <c r="F82"/>
    </row>
    <row r="83" spans="1:6" s="34" customFormat="1" ht="14.25" customHeight="1" x14ac:dyDescent="0.35">
      <c r="A83" s="1"/>
      <c r="D83"/>
      <c r="E83" s="32"/>
      <c r="F83"/>
    </row>
    <row r="84" spans="1:6" s="34" customFormat="1" ht="14.25" customHeight="1" x14ac:dyDescent="0.35">
      <c r="A84" s="1"/>
      <c r="D84"/>
      <c r="E84" s="32"/>
      <c r="F84"/>
    </row>
    <row r="85" spans="1:6" s="34" customFormat="1" ht="14.25" customHeight="1" x14ac:dyDescent="0.35">
      <c r="A85" s="1"/>
      <c r="D85"/>
      <c r="E85" s="32"/>
      <c r="F85"/>
    </row>
    <row r="86" spans="1:6" s="34" customFormat="1" ht="14.25" customHeight="1" x14ac:dyDescent="0.35">
      <c r="A86" s="1"/>
      <c r="D86"/>
      <c r="E86" s="32"/>
      <c r="F86"/>
    </row>
    <row r="87" spans="1:6" s="34" customFormat="1" ht="14.25" customHeight="1" x14ac:dyDescent="0.35">
      <c r="A87" s="1"/>
      <c r="D87"/>
      <c r="E87" s="32"/>
      <c r="F87"/>
    </row>
    <row r="88" spans="1:6" s="34" customFormat="1" ht="14.25" customHeight="1" x14ac:dyDescent="0.35">
      <c r="A88" s="1"/>
      <c r="D88"/>
      <c r="E88" s="32"/>
      <c r="F88"/>
    </row>
    <row r="89" spans="1:6" s="34" customFormat="1" ht="14.25" customHeight="1" x14ac:dyDescent="0.35">
      <c r="A89" s="1"/>
      <c r="D89"/>
      <c r="E89" s="32"/>
      <c r="F89"/>
    </row>
  </sheetData>
  <mergeCells count="9">
    <mergeCell ref="A3:O3"/>
    <mergeCell ref="A4:G4"/>
    <mergeCell ref="H4:J4"/>
    <mergeCell ref="A10:A11"/>
    <mergeCell ref="B10:B11"/>
    <mergeCell ref="C10:C11"/>
    <mergeCell ref="D10:O10"/>
    <mergeCell ref="F6:F8"/>
    <mergeCell ref="G6:G8"/>
  </mergeCells>
  <pageMargins left="0.23622047244094491" right="0.23622047244094491" top="0.3" bottom="0.1" header="0.27559055118110237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D3DA-F4A3-40C2-8B2D-5416BDD734C7}">
  <dimension ref="A1:M85"/>
  <sheetViews>
    <sheetView topLeftCell="B1" workbookViewId="0">
      <selection activeCell="I24" sqref="I24"/>
    </sheetView>
  </sheetViews>
  <sheetFormatPr defaultColWidth="14.453125" defaultRowHeight="15" customHeight="1" x14ac:dyDescent="0.35"/>
  <cols>
    <col min="1" max="1" width="6.08984375" hidden="1" customWidth="1"/>
    <col min="2" max="2" width="18.90625" customWidth="1"/>
    <col min="3" max="3" width="12.54296875" hidden="1" customWidth="1"/>
    <col min="4" max="4" width="12.54296875" customWidth="1"/>
    <col min="5" max="5" width="11.36328125" customWidth="1"/>
    <col min="6" max="6" width="16.36328125" customWidth="1"/>
    <col min="7" max="7" width="16" customWidth="1"/>
    <col min="8" max="8" width="15.90625" customWidth="1"/>
    <col min="9" max="9" width="18.81640625" bestFit="1" customWidth="1"/>
    <col min="10" max="10" width="14.81640625" customWidth="1"/>
    <col min="11" max="11" width="16" customWidth="1"/>
    <col min="12" max="12" width="15.1796875" customWidth="1"/>
    <col min="13" max="13" width="8.6328125" customWidth="1"/>
  </cols>
  <sheetData>
    <row r="1" spans="1:13" ht="22.75" customHeight="1" x14ac:dyDescent="0.45">
      <c r="A1" s="97" t="s">
        <v>52</v>
      </c>
      <c r="B1" s="97"/>
      <c r="C1" s="97"/>
      <c r="D1" s="97"/>
      <c r="E1" s="97"/>
      <c r="F1" s="97"/>
      <c r="G1" s="97"/>
    </row>
    <row r="2" spans="1:13" ht="14.25" customHeight="1" x14ac:dyDescent="0.35">
      <c r="A2" s="1"/>
    </row>
    <row r="3" spans="1:13" ht="14.25" customHeight="1" x14ac:dyDescent="0.35">
      <c r="A3" s="98" t="s">
        <v>0</v>
      </c>
      <c r="B3" s="99"/>
      <c r="C3" s="100" t="s">
        <v>1</v>
      </c>
      <c r="D3" s="101"/>
      <c r="E3" s="102"/>
      <c r="F3" s="90" t="s">
        <v>53</v>
      </c>
      <c r="G3" s="103"/>
    </row>
    <row r="4" spans="1:13" ht="14.25" customHeight="1" x14ac:dyDescent="0.35">
      <c r="A4" s="98"/>
      <c r="B4" s="99"/>
      <c r="C4" s="2" t="s">
        <v>3</v>
      </c>
      <c r="D4" s="23" t="s">
        <v>3</v>
      </c>
      <c r="E4" s="23" t="s">
        <v>4</v>
      </c>
      <c r="F4" s="30" t="s">
        <v>54</v>
      </c>
      <c r="G4" s="30" t="s">
        <v>55</v>
      </c>
      <c r="I4" s="6" t="s">
        <v>45</v>
      </c>
      <c r="J4" s="7">
        <v>84000</v>
      </c>
    </row>
    <row r="5" spans="1:13" ht="14.25" customHeight="1" x14ac:dyDescent="0.35">
      <c r="A5" s="2" t="s">
        <v>5</v>
      </c>
      <c r="B5" s="3" t="s">
        <v>6</v>
      </c>
      <c r="C5" s="2">
        <v>90.1</v>
      </c>
      <c r="D5" s="23">
        <f>SUM(D6:D28)</f>
        <v>45.05</v>
      </c>
      <c r="E5" s="24">
        <v>1</v>
      </c>
      <c r="F5" s="28"/>
      <c r="G5" s="9">
        <v>5000</v>
      </c>
    </row>
    <row r="6" spans="1:13" ht="14.25" customHeight="1" x14ac:dyDescent="0.35">
      <c r="A6" s="4">
        <v>1</v>
      </c>
      <c r="B6" s="5" t="s">
        <v>7</v>
      </c>
      <c r="C6" s="17">
        <v>10</v>
      </c>
      <c r="D6" s="31">
        <f>C6/2</f>
        <v>5</v>
      </c>
      <c r="E6" s="25">
        <f>ROUND(C6/90.1*100%,4)</f>
        <v>0.111</v>
      </c>
      <c r="F6" s="10">
        <v>150000</v>
      </c>
      <c r="G6" s="10">
        <f>F6</f>
        <v>150000</v>
      </c>
      <c r="H6" s="27" t="s">
        <v>50</v>
      </c>
      <c r="I6" s="27" t="s">
        <v>46</v>
      </c>
      <c r="J6" s="27" t="s">
        <v>49</v>
      </c>
      <c r="K6" s="27" t="s">
        <v>47</v>
      </c>
      <c r="L6" s="27" t="s">
        <v>48</v>
      </c>
      <c r="M6" s="27" t="s">
        <v>51</v>
      </c>
    </row>
    <row r="7" spans="1:13" ht="14.25" customHeight="1" x14ac:dyDescent="0.35">
      <c r="A7" s="4" t="e">
        <f>1+#REF!</f>
        <v>#REF!</v>
      </c>
      <c r="B7" s="5" t="s">
        <v>12</v>
      </c>
      <c r="C7" s="18">
        <v>12.5</v>
      </c>
      <c r="D7" s="31">
        <f t="shared" ref="D7:D28" si="0">C7/2</f>
        <v>6.25</v>
      </c>
      <c r="E7" s="26">
        <f t="shared" ref="E7:E28" si="1">ROUND(C7/90.1*100%,4)</f>
        <v>0.13869999999999999</v>
      </c>
      <c r="F7" s="10">
        <v>125000</v>
      </c>
      <c r="G7" s="10">
        <f>F7-$G$5</f>
        <v>120000</v>
      </c>
      <c r="H7" s="16"/>
      <c r="I7" s="12"/>
      <c r="J7" s="19"/>
      <c r="K7" s="13"/>
      <c r="L7" s="14"/>
      <c r="M7" s="15"/>
    </row>
    <row r="8" spans="1:13" ht="14.25" customHeight="1" x14ac:dyDescent="0.35">
      <c r="A8" s="4" t="e">
        <f>1+#REF!</f>
        <v>#REF!</v>
      </c>
      <c r="B8" s="5" t="s">
        <v>14</v>
      </c>
      <c r="C8" s="18">
        <v>19.100000000000001</v>
      </c>
      <c r="D8" s="31">
        <f t="shared" si="0"/>
        <v>9.5500000000000007</v>
      </c>
      <c r="E8" s="26">
        <f t="shared" si="1"/>
        <v>0.21199999999999999</v>
      </c>
      <c r="F8" s="10">
        <v>125000</v>
      </c>
      <c r="G8" s="10">
        <f>F8-$G$5</f>
        <v>120000</v>
      </c>
    </row>
    <row r="9" spans="1:13" ht="14.25" customHeight="1" x14ac:dyDescent="0.35">
      <c r="A9" s="4" t="e">
        <f t="shared" ref="A9:A28" si="2">1+A8</f>
        <v>#REF!</v>
      </c>
      <c r="B9" s="5" t="s">
        <v>15</v>
      </c>
      <c r="C9" s="18">
        <v>8</v>
      </c>
      <c r="D9" s="31">
        <f t="shared" si="0"/>
        <v>4</v>
      </c>
      <c r="E9" s="26">
        <f t="shared" si="1"/>
        <v>8.8800000000000004E-2</v>
      </c>
      <c r="F9" s="10">
        <v>120000</v>
      </c>
      <c r="G9" s="10">
        <f>F9-$G$5</f>
        <v>115000</v>
      </c>
    </row>
    <row r="10" spans="1:13" ht="14.25" customHeight="1" x14ac:dyDescent="0.35">
      <c r="A10" s="4" t="e">
        <f>1+#REF!</f>
        <v>#REF!</v>
      </c>
      <c r="B10" s="5" t="s">
        <v>18</v>
      </c>
      <c r="C10" s="18">
        <v>4.3</v>
      </c>
      <c r="D10" s="31">
        <f t="shared" si="0"/>
        <v>2.15</v>
      </c>
      <c r="E10" s="26">
        <f t="shared" si="1"/>
        <v>4.7699999999999999E-2</v>
      </c>
      <c r="F10" s="10">
        <v>115000</v>
      </c>
      <c r="G10" s="10">
        <f>F10-$G$5</f>
        <v>110000</v>
      </c>
    </row>
    <row r="11" spans="1:13" ht="14.25" customHeight="1" x14ac:dyDescent="0.35">
      <c r="A11" s="4" t="e">
        <f t="shared" si="2"/>
        <v>#REF!</v>
      </c>
      <c r="B11" s="5" t="s">
        <v>19</v>
      </c>
      <c r="C11" s="18">
        <v>4</v>
      </c>
      <c r="D11" s="31">
        <f t="shared" si="0"/>
        <v>2</v>
      </c>
      <c r="E11" s="26">
        <f t="shared" si="1"/>
        <v>4.4400000000000002E-2</v>
      </c>
      <c r="F11" s="10">
        <v>100000</v>
      </c>
      <c r="G11" s="10">
        <f>F11-$G$5</f>
        <v>95000</v>
      </c>
    </row>
    <row r="12" spans="1:13" ht="14.25" customHeight="1" x14ac:dyDescent="0.35">
      <c r="A12" s="21" t="e">
        <f>1+#REF!</f>
        <v>#REF!</v>
      </c>
      <c r="B12" s="5" t="s">
        <v>21</v>
      </c>
      <c r="C12" s="18">
        <v>3.1</v>
      </c>
      <c r="D12" s="31">
        <f t="shared" si="0"/>
        <v>1.55</v>
      </c>
      <c r="E12" s="26">
        <f t="shared" si="1"/>
        <v>3.44E-2</v>
      </c>
      <c r="F12" s="10">
        <v>50000</v>
      </c>
      <c r="G12" s="10">
        <f>F12</f>
        <v>50000</v>
      </c>
    </row>
    <row r="13" spans="1:13" ht="14.25" customHeight="1" x14ac:dyDescent="0.35">
      <c r="A13" s="4" t="e">
        <f t="shared" si="2"/>
        <v>#REF!</v>
      </c>
      <c r="B13" s="5" t="s">
        <v>22</v>
      </c>
      <c r="C13" s="18">
        <v>1</v>
      </c>
      <c r="D13" s="31">
        <f t="shared" si="0"/>
        <v>0.5</v>
      </c>
      <c r="E13" s="26">
        <f t="shared" si="1"/>
        <v>1.11E-2</v>
      </c>
      <c r="F13" s="10">
        <v>40000</v>
      </c>
      <c r="G13" s="10">
        <f t="shared" ref="G13:G15" si="3">F13</f>
        <v>40000</v>
      </c>
    </row>
    <row r="14" spans="1:13" ht="14.25" customHeight="1" x14ac:dyDescent="0.35">
      <c r="A14" s="4" t="e">
        <f t="shared" si="2"/>
        <v>#REF!</v>
      </c>
      <c r="B14" s="5" t="s">
        <v>23</v>
      </c>
      <c r="C14" s="18">
        <v>2.1</v>
      </c>
      <c r="D14" s="31">
        <f t="shared" si="0"/>
        <v>1.05</v>
      </c>
      <c r="E14" s="26">
        <f t="shared" si="1"/>
        <v>2.3300000000000001E-2</v>
      </c>
      <c r="F14" s="10">
        <v>75000</v>
      </c>
      <c r="G14" s="10">
        <f t="shared" si="3"/>
        <v>75000</v>
      </c>
    </row>
    <row r="15" spans="1:13" ht="14.25" customHeight="1" x14ac:dyDescent="0.35">
      <c r="A15" s="4" t="e">
        <f t="shared" si="2"/>
        <v>#REF!</v>
      </c>
      <c r="B15" s="5" t="s">
        <v>24</v>
      </c>
      <c r="C15" s="18">
        <v>1.5</v>
      </c>
      <c r="D15" s="31">
        <f t="shared" si="0"/>
        <v>0.75</v>
      </c>
      <c r="E15" s="26">
        <f t="shared" si="1"/>
        <v>1.66E-2</v>
      </c>
      <c r="F15" s="10">
        <v>85000</v>
      </c>
      <c r="G15" s="10">
        <f t="shared" si="3"/>
        <v>85000</v>
      </c>
    </row>
    <row r="16" spans="1:13" ht="14.25" customHeight="1" x14ac:dyDescent="0.35">
      <c r="A16" s="4" t="e">
        <f>1+#REF!</f>
        <v>#REF!</v>
      </c>
      <c r="B16" s="5" t="s">
        <v>27</v>
      </c>
      <c r="C16" s="18">
        <v>3</v>
      </c>
      <c r="D16" s="31">
        <f t="shared" si="0"/>
        <v>1.5</v>
      </c>
      <c r="E16" s="26">
        <f t="shared" si="1"/>
        <v>3.3300000000000003E-2</v>
      </c>
      <c r="F16" s="10">
        <v>120000</v>
      </c>
      <c r="G16" s="10">
        <f>F16-$G$5</f>
        <v>115000</v>
      </c>
    </row>
    <row r="17" spans="1:7" ht="14.25" customHeight="1" x14ac:dyDescent="0.35">
      <c r="A17" s="4" t="e">
        <f t="shared" si="2"/>
        <v>#REF!</v>
      </c>
      <c r="B17" s="5" t="s">
        <v>28</v>
      </c>
      <c r="C17" s="18">
        <v>3.8</v>
      </c>
      <c r="D17" s="31">
        <f t="shared" si="0"/>
        <v>1.9</v>
      </c>
      <c r="E17" s="26">
        <f t="shared" si="1"/>
        <v>4.2200000000000001E-2</v>
      </c>
      <c r="F17" s="10">
        <v>90000</v>
      </c>
      <c r="G17" s="10">
        <f>F17-$G$5</f>
        <v>85000</v>
      </c>
    </row>
    <row r="18" spans="1:7" ht="14.25" customHeight="1" x14ac:dyDescent="0.35">
      <c r="A18" s="4" t="e">
        <f>1+#REF!</f>
        <v>#REF!</v>
      </c>
      <c r="B18" s="5" t="s">
        <v>30</v>
      </c>
      <c r="C18" s="18">
        <v>3.5</v>
      </c>
      <c r="D18" s="31">
        <f t="shared" si="0"/>
        <v>1.75</v>
      </c>
      <c r="E18" s="26">
        <f t="shared" si="1"/>
        <v>3.8800000000000001E-2</v>
      </c>
      <c r="F18" s="10">
        <v>140000</v>
      </c>
      <c r="G18" s="10">
        <f>F18-$G$5</f>
        <v>135000</v>
      </c>
    </row>
    <row r="19" spans="1:7" ht="14.25" customHeight="1" x14ac:dyDescent="0.35">
      <c r="A19" s="4" t="e">
        <f>1+#REF!</f>
        <v>#REF!</v>
      </c>
      <c r="B19" s="5" t="s">
        <v>33</v>
      </c>
      <c r="C19" s="17">
        <v>4.5999999999999996</v>
      </c>
      <c r="D19" s="31">
        <f t="shared" si="0"/>
        <v>2.2999999999999998</v>
      </c>
      <c r="E19" s="26">
        <f t="shared" si="1"/>
        <v>5.11E-2</v>
      </c>
      <c r="F19" s="10">
        <v>180000</v>
      </c>
      <c r="G19" s="10">
        <f>F19</f>
        <v>180000</v>
      </c>
    </row>
    <row r="20" spans="1:7" ht="14.25" customHeight="1" x14ac:dyDescent="0.35">
      <c r="A20" s="4" t="e">
        <f t="shared" si="2"/>
        <v>#REF!</v>
      </c>
      <c r="B20" s="5" t="s">
        <v>34</v>
      </c>
      <c r="C20" s="18">
        <v>1</v>
      </c>
      <c r="D20" s="31">
        <f t="shared" si="0"/>
        <v>0.5</v>
      </c>
      <c r="E20" s="26">
        <f t="shared" si="1"/>
        <v>1.11E-2</v>
      </c>
      <c r="F20" s="10">
        <v>140000</v>
      </c>
      <c r="G20" s="10">
        <f>F20-$G$5</f>
        <v>135000</v>
      </c>
    </row>
    <row r="21" spans="1:7" ht="14.25" customHeight="1" x14ac:dyDescent="0.35">
      <c r="A21" s="4" t="e">
        <f t="shared" si="2"/>
        <v>#REF!</v>
      </c>
      <c r="B21" s="5" t="s">
        <v>35</v>
      </c>
      <c r="C21" s="18">
        <v>0.4</v>
      </c>
      <c r="D21" s="31">
        <f t="shared" si="0"/>
        <v>0.2</v>
      </c>
      <c r="E21" s="26">
        <f t="shared" si="1"/>
        <v>4.4000000000000003E-3</v>
      </c>
      <c r="F21" s="10">
        <v>130000</v>
      </c>
      <c r="G21" s="10">
        <f>F21-$G$5</f>
        <v>125000</v>
      </c>
    </row>
    <row r="22" spans="1:7" ht="14.25" customHeight="1" x14ac:dyDescent="0.35">
      <c r="A22" s="4" t="e">
        <f t="shared" si="2"/>
        <v>#REF!</v>
      </c>
      <c r="B22" s="5" t="s">
        <v>36</v>
      </c>
      <c r="C22" s="18">
        <v>0.4</v>
      </c>
      <c r="D22" s="31">
        <f t="shared" si="0"/>
        <v>0.2</v>
      </c>
      <c r="E22" s="26">
        <f t="shared" si="1"/>
        <v>4.4000000000000003E-3</v>
      </c>
      <c r="F22" s="10">
        <v>160000</v>
      </c>
      <c r="G22" s="22">
        <v>170000</v>
      </c>
    </row>
    <row r="23" spans="1:7" ht="14.25" customHeight="1" x14ac:dyDescent="0.35">
      <c r="A23" s="4" t="e">
        <f>1+#REF!</f>
        <v>#REF!</v>
      </c>
      <c r="B23" s="5" t="s">
        <v>39</v>
      </c>
      <c r="C23" s="18">
        <v>0.4</v>
      </c>
      <c r="D23" s="31">
        <f t="shared" si="0"/>
        <v>0.2</v>
      </c>
      <c r="E23" s="26">
        <f t="shared" si="1"/>
        <v>4.4000000000000003E-3</v>
      </c>
      <c r="F23" s="10">
        <v>50000</v>
      </c>
      <c r="G23" s="10">
        <f>F23-$G$5</f>
        <v>45000</v>
      </c>
    </row>
    <row r="24" spans="1:7" ht="14.25" customHeight="1" x14ac:dyDescent="0.35">
      <c r="A24" s="4" t="e">
        <f t="shared" si="2"/>
        <v>#REF!</v>
      </c>
      <c r="B24" s="5" t="s">
        <v>40</v>
      </c>
      <c r="C24" s="18"/>
      <c r="D24" s="31">
        <f t="shared" si="0"/>
        <v>0</v>
      </c>
      <c r="E24" s="26"/>
      <c r="F24" s="10">
        <v>100000</v>
      </c>
      <c r="G24" s="22">
        <v>110000</v>
      </c>
    </row>
    <row r="25" spans="1:7" ht="14.25" customHeight="1" x14ac:dyDescent="0.35">
      <c r="A25" s="4" t="e">
        <f t="shared" si="2"/>
        <v>#REF!</v>
      </c>
      <c r="B25" s="5" t="s">
        <v>41</v>
      </c>
      <c r="C25" s="18">
        <v>2.5</v>
      </c>
      <c r="D25" s="31">
        <f t="shared" si="0"/>
        <v>1.25</v>
      </c>
      <c r="E25" s="26">
        <f t="shared" si="1"/>
        <v>2.7699999999999999E-2</v>
      </c>
      <c r="F25" s="10">
        <v>125000</v>
      </c>
      <c r="G25" s="10">
        <f>F25-$G$5</f>
        <v>120000</v>
      </c>
    </row>
    <row r="26" spans="1:7" ht="14.25" customHeight="1" x14ac:dyDescent="0.35">
      <c r="A26" s="4" t="e">
        <f t="shared" si="2"/>
        <v>#REF!</v>
      </c>
      <c r="B26" s="5" t="s">
        <v>42</v>
      </c>
      <c r="C26" s="18">
        <v>2.2999999999999998</v>
      </c>
      <c r="D26" s="31">
        <f t="shared" si="0"/>
        <v>1.1499999999999999</v>
      </c>
      <c r="E26" s="26">
        <f t="shared" si="1"/>
        <v>2.5499999999999998E-2</v>
      </c>
      <c r="F26" s="10">
        <v>115000</v>
      </c>
      <c r="G26" s="10">
        <f>F26-$G$5</f>
        <v>110000</v>
      </c>
    </row>
    <row r="27" spans="1:7" ht="14.25" customHeight="1" x14ac:dyDescent="0.35">
      <c r="A27" s="4" t="e">
        <f t="shared" si="2"/>
        <v>#REF!</v>
      </c>
      <c r="B27" s="5" t="s">
        <v>43</v>
      </c>
      <c r="C27" s="18">
        <v>1.6</v>
      </c>
      <c r="D27" s="31">
        <f t="shared" si="0"/>
        <v>0.8</v>
      </c>
      <c r="E27" s="26">
        <f t="shared" si="1"/>
        <v>1.78E-2</v>
      </c>
      <c r="F27" s="10">
        <v>105000</v>
      </c>
      <c r="G27" s="10">
        <f>F27-$G$5</f>
        <v>100000</v>
      </c>
    </row>
    <row r="28" spans="1:7" ht="14.25" customHeight="1" x14ac:dyDescent="0.35">
      <c r="A28" s="4" t="e">
        <f t="shared" si="2"/>
        <v>#REF!</v>
      </c>
      <c r="B28" s="5" t="s">
        <v>44</v>
      </c>
      <c r="C28" s="18">
        <v>1</v>
      </c>
      <c r="D28" s="31">
        <f t="shared" si="0"/>
        <v>0.5</v>
      </c>
      <c r="E28" s="26">
        <f t="shared" si="1"/>
        <v>1.11E-2</v>
      </c>
      <c r="F28" s="10">
        <v>100000</v>
      </c>
      <c r="G28" s="10">
        <f>F28-$G$5</f>
        <v>95000</v>
      </c>
    </row>
    <row r="29" spans="1:7" ht="14.25" customHeight="1" x14ac:dyDescent="0.35">
      <c r="A29" s="1"/>
    </row>
    <row r="30" spans="1:7" ht="14.25" customHeight="1" x14ac:dyDescent="0.35">
      <c r="A30" s="1"/>
    </row>
    <row r="31" spans="1:7" ht="14.25" customHeight="1" x14ac:dyDescent="0.35">
      <c r="A31" s="1"/>
    </row>
    <row r="32" spans="1:7" ht="14.25" customHeight="1" x14ac:dyDescent="0.35">
      <c r="A32" s="1"/>
    </row>
    <row r="33" spans="1:1" ht="14.25" customHeight="1" x14ac:dyDescent="0.35">
      <c r="A33" s="1"/>
    </row>
    <row r="34" spans="1:1" ht="14.25" customHeight="1" x14ac:dyDescent="0.35">
      <c r="A34" s="1"/>
    </row>
    <row r="35" spans="1:1" ht="14.25" customHeight="1" x14ac:dyDescent="0.35">
      <c r="A35" s="1"/>
    </row>
    <row r="36" spans="1:1" ht="14.25" customHeight="1" x14ac:dyDescent="0.35">
      <c r="A36" s="1"/>
    </row>
    <row r="37" spans="1:1" ht="14.25" customHeight="1" x14ac:dyDescent="0.35">
      <c r="A37" s="1"/>
    </row>
    <row r="38" spans="1:1" ht="14.25" customHeight="1" x14ac:dyDescent="0.35">
      <c r="A38" s="1"/>
    </row>
    <row r="39" spans="1:1" ht="14.25" customHeight="1" x14ac:dyDescent="0.35">
      <c r="A39" s="1"/>
    </row>
    <row r="40" spans="1:1" ht="14.25" customHeight="1" x14ac:dyDescent="0.35">
      <c r="A40" s="1"/>
    </row>
    <row r="41" spans="1:1" ht="14.25" customHeight="1" x14ac:dyDescent="0.35">
      <c r="A41" s="1"/>
    </row>
    <row r="42" spans="1:1" ht="14.25" customHeight="1" x14ac:dyDescent="0.35">
      <c r="A42" s="1"/>
    </row>
    <row r="43" spans="1:1" ht="14.25" customHeight="1" x14ac:dyDescent="0.35">
      <c r="A43" s="1"/>
    </row>
    <row r="44" spans="1:1" ht="14.25" customHeight="1" x14ac:dyDescent="0.35">
      <c r="A44" s="1"/>
    </row>
    <row r="45" spans="1:1" ht="14.25" customHeight="1" x14ac:dyDescent="0.35">
      <c r="A45" s="1"/>
    </row>
    <row r="46" spans="1:1" ht="14.25" customHeight="1" x14ac:dyDescent="0.35">
      <c r="A46" s="1"/>
    </row>
    <row r="47" spans="1:1" ht="14.25" customHeight="1" x14ac:dyDescent="0.35">
      <c r="A47" s="1"/>
    </row>
    <row r="48" spans="1:1" ht="14.25" customHeight="1" x14ac:dyDescent="0.35">
      <c r="A48" s="1"/>
    </row>
    <row r="49" spans="1:1" ht="14.25" customHeight="1" x14ac:dyDescent="0.35">
      <c r="A49" s="1"/>
    </row>
    <row r="50" spans="1:1" ht="14.25" customHeight="1" x14ac:dyDescent="0.35">
      <c r="A50" s="1"/>
    </row>
    <row r="51" spans="1:1" ht="14.25" customHeight="1" x14ac:dyDescent="0.35">
      <c r="A51" s="1"/>
    </row>
    <row r="52" spans="1:1" ht="14.25" customHeight="1" x14ac:dyDescent="0.35">
      <c r="A52" s="1"/>
    </row>
    <row r="53" spans="1:1" ht="14.25" customHeight="1" x14ac:dyDescent="0.35">
      <c r="A53" s="1"/>
    </row>
    <row r="54" spans="1:1" ht="14.25" customHeight="1" x14ac:dyDescent="0.35">
      <c r="A54" s="1"/>
    </row>
    <row r="55" spans="1:1" ht="14.25" customHeight="1" x14ac:dyDescent="0.35">
      <c r="A55" s="1"/>
    </row>
    <row r="56" spans="1:1" ht="14.25" customHeight="1" x14ac:dyDescent="0.35">
      <c r="A56" s="1"/>
    </row>
    <row r="57" spans="1:1" ht="14.25" customHeight="1" x14ac:dyDescent="0.35">
      <c r="A57" s="1"/>
    </row>
    <row r="58" spans="1:1" ht="14.25" customHeight="1" x14ac:dyDescent="0.35">
      <c r="A58" s="1"/>
    </row>
    <row r="59" spans="1:1" ht="14.25" customHeight="1" x14ac:dyDescent="0.35">
      <c r="A59" s="1"/>
    </row>
    <row r="60" spans="1:1" ht="14.25" customHeight="1" x14ac:dyDescent="0.35">
      <c r="A60" s="1"/>
    </row>
    <row r="61" spans="1:1" ht="14.25" customHeight="1" x14ac:dyDescent="0.35">
      <c r="A61" s="1"/>
    </row>
    <row r="62" spans="1:1" ht="14.25" customHeight="1" x14ac:dyDescent="0.35">
      <c r="A62" s="1"/>
    </row>
    <row r="63" spans="1:1" ht="14.25" customHeight="1" x14ac:dyDescent="0.35">
      <c r="A63" s="1"/>
    </row>
    <row r="64" spans="1:1" ht="14.25" customHeight="1" x14ac:dyDescent="0.35">
      <c r="A64" s="1"/>
    </row>
    <row r="65" spans="1:1" ht="14.25" customHeight="1" x14ac:dyDescent="0.35">
      <c r="A65" s="1"/>
    </row>
    <row r="66" spans="1:1" ht="14.25" customHeight="1" x14ac:dyDescent="0.35">
      <c r="A66" s="1"/>
    </row>
    <row r="67" spans="1:1" ht="14.25" customHeight="1" x14ac:dyDescent="0.35">
      <c r="A67" s="1"/>
    </row>
    <row r="68" spans="1:1" ht="14.25" customHeight="1" x14ac:dyDescent="0.35">
      <c r="A68" s="1"/>
    </row>
    <row r="69" spans="1:1" ht="14.25" customHeight="1" x14ac:dyDescent="0.35">
      <c r="A69" s="1"/>
    </row>
    <row r="70" spans="1:1" ht="14.25" customHeight="1" x14ac:dyDescent="0.35">
      <c r="A70" s="1"/>
    </row>
    <row r="71" spans="1:1" ht="14.25" customHeight="1" x14ac:dyDescent="0.35">
      <c r="A71" s="1"/>
    </row>
    <row r="72" spans="1:1" ht="14.25" customHeight="1" x14ac:dyDescent="0.35">
      <c r="A72" s="1"/>
    </row>
    <row r="73" spans="1:1" ht="14.25" customHeight="1" x14ac:dyDescent="0.35">
      <c r="A73" s="1"/>
    </row>
    <row r="74" spans="1:1" ht="14.25" customHeight="1" x14ac:dyDescent="0.35">
      <c r="A74" s="1"/>
    </row>
    <row r="75" spans="1:1" ht="14.25" customHeight="1" x14ac:dyDescent="0.35">
      <c r="A75" s="1"/>
    </row>
    <row r="76" spans="1:1" ht="14.25" customHeight="1" x14ac:dyDescent="0.35">
      <c r="A76" s="1"/>
    </row>
    <row r="77" spans="1:1" ht="14.25" customHeight="1" x14ac:dyDescent="0.35">
      <c r="A77" s="1"/>
    </row>
    <row r="78" spans="1:1" ht="14.25" customHeight="1" x14ac:dyDescent="0.35">
      <c r="A78" s="1"/>
    </row>
    <row r="79" spans="1:1" ht="14.25" customHeight="1" x14ac:dyDescent="0.35">
      <c r="A79" s="1"/>
    </row>
    <row r="80" spans="1:1" ht="14.25" customHeight="1" x14ac:dyDescent="0.35">
      <c r="A80" s="1"/>
    </row>
    <row r="81" spans="1:1" ht="14.25" customHeight="1" x14ac:dyDescent="0.35">
      <c r="A81" s="1"/>
    </row>
    <row r="82" spans="1:1" ht="14.25" customHeight="1" x14ac:dyDescent="0.35">
      <c r="A82" s="1"/>
    </row>
    <row r="83" spans="1:1" ht="14.25" customHeight="1" x14ac:dyDescent="0.35">
      <c r="A83" s="1"/>
    </row>
    <row r="84" spans="1:1" ht="14.25" customHeight="1" x14ac:dyDescent="0.35">
      <c r="A84" s="1"/>
    </row>
    <row r="85" spans="1:1" ht="14.25" customHeight="1" x14ac:dyDescent="0.35">
      <c r="A85" s="1"/>
    </row>
  </sheetData>
  <mergeCells count="5">
    <mergeCell ref="A1:G1"/>
    <mergeCell ref="A3:B3"/>
    <mergeCell ref="C3:E3"/>
    <mergeCell ref="F3:G3"/>
    <mergeCell ref="A4:B4"/>
  </mergeCells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I24" sqref="I24"/>
    </sheetView>
  </sheetViews>
  <sheetFormatPr defaultColWidth="14.453125" defaultRowHeight="15" customHeight="1" x14ac:dyDescent="0.35"/>
  <cols>
    <col min="1" max="1" width="6.08984375" customWidth="1"/>
    <col min="2" max="2" width="18.90625" customWidth="1"/>
    <col min="3" max="3" width="12.54296875" customWidth="1"/>
    <col min="4" max="4" width="11.36328125" customWidth="1"/>
    <col min="5" max="5" width="16.36328125" customWidth="1"/>
    <col min="6" max="6" width="16" customWidth="1"/>
    <col min="7" max="7" width="15.90625" customWidth="1"/>
    <col min="8" max="8" width="18.81640625" bestFit="1" customWidth="1"/>
    <col min="9" max="9" width="14.81640625" customWidth="1"/>
    <col min="10" max="10" width="16" customWidth="1"/>
    <col min="11" max="11" width="15.1796875" customWidth="1"/>
    <col min="12" max="12" width="8.6328125" customWidth="1"/>
  </cols>
  <sheetData>
    <row r="1" spans="1:12" ht="22.75" customHeight="1" x14ac:dyDescent="0.45">
      <c r="A1" s="97" t="s">
        <v>52</v>
      </c>
      <c r="B1" s="97"/>
      <c r="C1" s="97"/>
      <c r="D1" s="97"/>
      <c r="E1" s="97"/>
      <c r="F1" s="97"/>
    </row>
    <row r="2" spans="1:12" ht="14.25" customHeight="1" x14ac:dyDescent="0.35">
      <c r="A2" s="1"/>
    </row>
    <row r="3" spans="1:12" ht="14.25" customHeight="1" x14ac:dyDescent="0.35">
      <c r="A3" s="98" t="s">
        <v>0</v>
      </c>
      <c r="B3" s="99"/>
      <c r="C3" s="100" t="s">
        <v>1</v>
      </c>
      <c r="D3" s="102"/>
      <c r="E3" s="90" t="s">
        <v>53</v>
      </c>
      <c r="F3" s="103"/>
    </row>
    <row r="4" spans="1:12" ht="14.25" customHeight="1" x14ac:dyDescent="0.35">
      <c r="A4" s="98" t="s">
        <v>2</v>
      </c>
      <c r="B4" s="99"/>
      <c r="C4" s="2" t="s">
        <v>3</v>
      </c>
      <c r="D4" s="20" t="s">
        <v>4</v>
      </c>
      <c r="E4" s="30" t="s">
        <v>54</v>
      </c>
      <c r="F4" s="30" t="s">
        <v>55</v>
      </c>
      <c r="H4" s="6" t="s">
        <v>45</v>
      </c>
      <c r="I4" s="7">
        <v>84000</v>
      </c>
    </row>
    <row r="5" spans="1:12" ht="14.25" customHeight="1" x14ac:dyDescent="0.35">
      <c r="A5" s="2" t="s">
        <v>5</v>
      </c>
      <c r="B5" s="3" t="s">
        <v>6</v>
      </c>
      <c r="C5" s="2">
        <v>90.1</v>
      </c>
      <c r="D5" s="24">
        <v>1</v>
      </c>
      <c r="E5" s="28"/>
      <c r="F5" s="9">
        <v>5000</v>
      </c>
    </row>
    <row r="6" spans="1:12" ht="14.25" customHeight="1" x14ac:dyDescent="0.35">
      <c r="A6" s="4">
        <v>1</v>
      </c>
      <c r="B6" s="5" t="s">
        <v>7</v>
      </c>
      <c r="C6" s="17">
        <v>10</v>
      </c>
      <c r="D6" s="25">
        <f>ROUND(C6/90.1*100%,4)</f>
        <v>0.111</v>
      </c>
      <c r="E6" s="10">
        <v>150000</v>
      </c>
      <c r="F6" s="10">
        <f>E6</f>
        <v>150000</v>
      </c>
      <c r="G6" s="8" t="s">
        <v>50</v>
      </c>
      <c r="H6" s="8" t="s">
        <v>46</v>
      </c>
      <c r="I6" s="8" t="s">
        <v>49</v>
      </c>
      <c r="J6" s="8" t="s">
        <v>47</v>
      </c>
      <c r="K6" s="8" t="s">
        <v>48</v>
      </c>
      <c r="L6" s="8" t="s">
        <v>51</v>
      </c>
    </row>
    <row r="7" spans="1:12" ht="14.25" customHeight="1" x14ac:dyDescent="0.35">
      <c r="A7" s="4">
        <f t="shared" ref="A7:A43" si="0">1+A6</f>
        <v>2</v>
      </c>
      <c r="B7" s="5" t="s">
        <v>8</v>
      </c>
      <c r="C7" s="18"/>
      <c r="D7" s="26"/>
      <c r="E7" s="10">
        <v>160000</v>
      </c>
      <c r="F7" s="10">
        <f t="shared" ref="F7:F8" si="1">E7</f>
        <v>160000</v>
      </c>
      <c r="G7" s="29" t="s">
        <v>54</v>
      </c>
      <c r="H7" s="12">
        <f>E6*$C$6+E11*$C$11+E13*$C$13+E14*$C$14+E17*$C$17+E18*$C$18+E20*$C$20+E21*$C$21+E22*$C$22+E23*$C$23+E26*$C$26+E27*$C$27+E29*$C$29+E32*$C$32+E33*$C$33+E34*$C$34+E35*$C$35+E38*$C$38+E40*$C$40+E41*$C$41+E42*$C$42+E43*$C$43</f>
        <v>10925500</v>
      </c>
      <c r="I7" s="13">
        <f>H7/$C$5</f>
        <v>121259.71143174251</v>
      </c>
      <c r="J7" s="13">
        <f>I7-$I$4</f>
        <v>37259.711431742515</v>
      </c>
      <c r="K7" s="14">
        <f>J7*$C$5</f>
        <v>3357100.0000000005</v>
      </c>
      <c r="L7" s="15">
        <f>J7/I7</f>
        <v>0.30727197839915799</v>
      </c>
    </row>
    <row r="8" spans="1:12" ht="14.25" customHeight="1" x14ac:dyDescent="0.35">
      <c r="A8" s="4">
        <f t="shared" si="0"/>
        <v>3</v>
      </c>
      <c r="B8" s="5" t="s">
        <v>9</v>
      </c>
      <c r="C8" s="18"/>
      <c r="D8" s="26"/>
      <c r="E8" s="10">
        <v>180000</v>
      </c>
      <c r="F8" s="10">
        <f t="shared" si="1"/>
        <v>180000</v>
      </c>
      <c r="G8" s="29" t="s">
        <v>55</v>
      </c>
      <c r="H8" s="12">
        <f>F6*$C$6+F11*$C$11+F13*$C$13+F14*$C$14+F17*$C$17+F18*$C$18+F20*$C$20+F21*$C$21+F22*$C$22+F23*$C$23+F26*$C$26+F27*$C$27+F29*$C$29+F32*$C$32+F33*$C$33+F34*$C$34+F35*$C$35+F38*$C$38+F40*$C$40+F41*$C$41+F42*$C$42+F43*$C$43</f>
        <v>10592500</v>
      </c>
      <c r="I8" s="13">
        <f>H8/$C$5</f>
        <v>117563.8179800222</v>
      </c>
      <c r="J8" s="13">
        <f>I8-$I$4</f>
        <v>33563.817980022199</v>
      </c>
      <c r="K8" s="14">
        <f>J8*$C$5</f>
        <v>3024100</v>
      </c>
      <c r="L8" s="15">
        <f>J8/I8</f>
        <v>0.28549445362284637</v>
      </c>
    </row>
    <row r="9" spans="1:12" ht="14.25" customHeight="1" x14ac:dyDescent="0.35">
      <c r="A9" s="4">
        <f t="shared" si="0"/>
        <v>4</v>
      </c>
      <c r="B9" s="5" t="s">
        <v>10</v>
      </c>
      <c r="C9" s="18"/>
      <c r="D9" s="26"/>
      <c r="E9" s="10">
        <v>105000</v>
      </c>
      <c r="F9" s="10">
        <f>E9-$F$5</f>
        <v>100000</v>
      </c>
      <c r="G9" s="11"/>
      <c r="H9" s="12"/>
      <c r="I9" s="13"/>
      <c r="J9" s="13"/>
      <c r="K9" s="14"/>
      <c r="L9" s="15"/>
    </row>
    <row r="10" spans="1:12" ht="14.25" customHeight="1" x14ac:dyDescent="0.35">
      <c r="A10" s="4">
        <f t="shared" si="0"/>
        <v>5</v>
      </c>
      <c r="B10" s="5" t="s">
        <v>11</v>
      </c>
      <c r="C10" s="18"/>
      <c r="D10" s="26"/>
      <c r="E10" s="10">
        <v>105000</v>
      </c>
      <c r="F10" s="10">
        <f t="shared" ref="F10:F43" si="2">E10-$F$5</f>
        <v>100000</v>
      </c>
      <c r="G10" s="11"/>
      <c r="H10" s="12"/>
      <c r="I10" s="19"/>
      <c r="J10" s="13"/>
      <c r="K10" s="14"/>
      <c r="L10" s="15"/>
    </row>
    <row r="11" spans="1:12" ht="14.25" customHeight="1" x14ac:dyDescent="0.35">
      <c r="A11" s="4">
        <f t="shared" si="0"/>
        <v>6</v>
      </c>
      <c r="B11" s="5" t="s">
        <v>12</v>
      </c>
      <c r="C11" s="18">
        <v>12.5</v>
      </c>
      <c r="D11" s="26">
        <f t="shared" ref="D11:D43" si="3">ROUND(C11/90.1*100%,4)</f>
        <v>0.13869999999999999</v>
      </c>
      <c r="E11" s="10">
        <v>125000</v>
      </c>
      <c r="F11" s="10">
        <f t="shared" si="2"/>
        <v>120000</v>
      </c>
      <c r="G11" s="16"/>
      <c r="H11" s="12"/>
      <c r="I11" s="19"/>
      <c r="J11" s="13"/>
      <c r="K11" s="14"/>
      <c r="L11" s="15"/>
    </row>
    <row r="12" spans="1:12" ht="14.25" customHeight="1" x14ac:dyDescent="0.35">
      <c r="A12" s="4">
        <f t="shared" si="0"/>
        <v>7</v>
      </c>
      <c r="B12" s="5" t="s">
        <v>13</v>
      </c>
      <c r="C12" s="18"/>
      <c r="D12" s="26"/>
      <c r="E12" s="10">
        <v>65000</v>
      </c>
      <c r="F12" s="10">
        <f t="shared" si="2"/>
        <v>60000</v>
      </c>
    </row>
    <row r="13" spans="1:12" ht="14.25" customHeight="1" x14ac:dyDescent="0.35">
      <c r="A13" s="4">
        <f t="shared" si="0"/>
        <v>8</v>
      </c>
      <c r="B13" s="5" t="s">
        <v>14</v>
      </c>
      <c r="C13" s="18">
        <v>19.100000000000001</v>
      </c>
      <c r="D13" s="26">
        <f t="shared" si="3"/>
        <v>0.21199999999999999</v>
      </c>
      <c r="E13" s="10">
        <v>125000</v>
      </c>
      <c r="F13" s="10">
        <f t="shared" si="2"/>
        <v>120000</v>
      </c>
    </row>
    <row r="14" spans="1:12" ht="14.25" customHeight="1" x14ac:dyDescent="0.35">
      <c r="A14" s="4">
        <f t="shared" si="0"/>
        <v>9</v>
      </c>
      <c r="B14" s="5" t="s">
        <v>15</v>
      </c>
      <c r="C14" s="18">
        <v>8</v>
      </c>
      <c r="D14" s="26">
        <f t="shared" si="3"/>
        <v>8.8800000000000004E-2</v>
      </c>
      <c r="E14" s="10">
        <v>120000</v>
      </c>
      <c r="F14" s="10">
        <f t="shared" si="2"/>
        <v>115000</v>
      </c>
    </row>
    <row r="15" spans="1:12" ht="14.25" customHeight="1" x14ac:dyDescent="0.35">
      <c r="A15" s="4">
        <f t="shared" si="0"/>
        <v>10</v>
      </c>
      <c r="B15" s="5" t="s">
        <v>16</v>
      </c>
      <c r="C15" s="18"/>
      <c r="D15" s="26"/>
      <c r="E15" s="10">
        <v>145000</v>
      </c>
      <c r="F15" s="10">
        <f t="shared" si="2"/>
        <v>140000</v>
      </c>
    </row>
    <row r="16" spans="1:12" ht="14.25" customHeight="1" x14ac:dyDescent="0.35">
      <c r="A16" s="4">
        <f t="shared" si="0"/>
        <v>11</v>
      </c>
      <c r="B16" s="5" t="s">
        <v>17</v>
      </c>
      <c r="C16" s="18"/>
      <c r="D16" s="26"/>
      <c r="E16" s="10">
        <v>165000</v>
      </c>
      <c r="F16" s="22">
        <v>170000</v>
      </c>
    </row>
    <row r="17" spans="1:6" ht="14.25" customHeight="1" x14ac:dyDescent="0.35">
      <c r="A17" s="4">
        <f t="shared" si="0"/>
        <v>12</v>
      </c>
      <c r="B17" s="5" t="s">
        <v>18</v>
      </c>
      <c r="C17" s="18">
        <v>4.3</v>
      </c>
      <c r="D17" s="26">
        <f t="shared" si="3"/>
        <v>4.7699999999999999E-2</v>
      </c>
      <c r="E17" s="10">
        <v>115000</v>
      </c>
      <c r="F17" s="10">
        <f t="shared" si="2"/>
        <v>110000</v>
      </c>
    </row>
    <row r="18" spans="1:6" ht="14.25" customHeight="1" x14ac:dyDescent="0.35">
      <c r="A18" s="4">
        <f t="shared" si="0"/>
        <v>13</v>
      </c>
      <c r="B18" s="5" t="s">
        <v>19</v>
      </c>
      <c r="C18" s="18">
        <v>4</v>
      </c>
      <c r="D18" s="26">
        <f t="shared" si="3"/>
        <v>4.4400000000000002E-2</v>
      </c>
      <c r="E18" s="10">
        <v>100000</v>
      </c>
      <c r="F18" s="10">
        <f t="shared" si="2"/>
        <v>95000</v>
      </c>
    </row>
    <row r="19" spans="1:6" ht="14.25" customHeight="1" x14ac:dyDescent="0.35">
      <c r="A19" s="4">
        <f t="shared" si="0"/>
        <v>14</v>
      </c>
      <c r="B19" s="5" t="s">
        <v>20</v>
      </c>
      <c r="C19" s="18"/>
      <c r="D19" s="26"/>
      <c r="E19" s="10">
        <v>100000</v>
      </c>
      <c r="F19" s="10">
        <f t="shared" si="2"/>
        <v>95000</v>
      </c>
    </row>
    <row r="20" spans="1:6" ht="14.25" customHeight="1" x14ac:dyDescent="0.35">
      <c r="A20" s="21">
        <f t="shared" si="0"/>
        <v>15</v>
      </c>
      <c r="B20" s="5" t="s">
        <v>21</v>
      </c>
      <c r="C20" s="18">
        <v>3.1</v>
      </c>
      <c r="D20" s="26">
        <f t="shared" si="3"/>
        <v>3.44E-2</v>
      </c>
      <c r="E20" s="10">
        <v>50000</v>
      </c>
      <c r="F20" s="10">
        <f>E20</f>
        <v>50000</v>
      </c>
    </row>
    <row r="21" spans="1:6" ht="14.25" customHeight="1" x14ac:dyDescent="0.35">
      <c r="A21" s="4">
        <f t="shared" si="0"/>
        <v>16</v>
      </c>
      <c r="B21" s="5" t="s">
        <v>22</v>
      </c>
      <c r="C21" s="18">
        <v>1</v>
      </c>
      <c r="D21" s="26">
        <f t="shared" si="3"/>
        <v>1.11E-2</v>
      </c>
      <c r="E21" s="10">
        <v>40000</v>
      </c>
      <c r="F21" s="10">
        <f t="shared" ref="F21:F24" si="4">E21</f>
        <v>40000</v>
      </c>
    </row>
    <row r="22" spans="1:6" ht="14.25" customHeight="1" x14ac:dyDescent="0.35">
      <c r="A22" s="4">
        <f t="shared" si="0"/>
        <v>17</v>
      </c>
      <c r="B22" s="5" t="s">
        <v>23</v>
      </c>
      <c r="C22" s="18">
        <v>2.1</v>
      </c>
      <c r="D22" s="26">
        <f t="shared" si="3"/>
        <v>2.3300000000000001E-2</v>
      </c>
      <c r="E22" s="10">
        <v>75000</v>
      </c>
      <c r="F22" s="10">
        <f t="shared" si="4"/>
        <v>75000</v>
      </c>
    </row>
    <row r="23" spans="1:6" ht="14.25" customHeight="1" x14ac:dyDescent="0.35">
      <c r="A23" s="4">
        <f t="shared" si="0"/>
        <v>18</v>
      </c>
      <c r="B23" s="5" t="s">
        <v>24</v>
      </c>
      <c r="C23" s="18">
        <v>1.5</v>
      </c>
      <c r="D23" s="26">
        <f t="shared" si="3"/>
        <v>1.66E-2</v>
      </c>
      <c r="E23" s="10">
        <v>85000</v>
      </c>
      <c r="F23" s="10">
        <f t="shared" si="4"/>
        <v>85000</v>
      </c>
    </row>
    <row r="24" spans="1:6" ht="14.25" customHeight="1" x14ac:dyDescent="0.35">
      <c r="A24" s="4">
        <f t="shared" si="0"/>
        <v>19</v>
      </c>
      <c r="B24" s="5" t="s">
        <v>25</v>
      </c>
      <c r="C24" s="18"/>
      <c r="D24" s="26"/>
      <c r="E24" s="10">
        <v>35000</v>
      </c>
      <c r="F24" s="10">
        <f t="shared" si="4"/>
        <v>35000</v>
      </c>
    </row>
    <row r="25" spans="1:6" ht="14.25" customHeight="1" x14ac:dyDescent="0.35">
      <c r="A25" s="4">
        <f t="shared" si="0"/>
        <v>20</v>
      </c>
      <c r="B25" s="5" t="s">
        <v>26</v>
      </c>
      <c r="C25" s="18"/>
      <c r="D25" s="26"/>
      <c r="E25" s="10">
        <v>75000</v>
      </c>
      <c r="F25" s="10">
        <f t="shared" si="2"/>
        <v>70000</v>
      </c>
    </row>
    <row r="26" spans="1:6" ht="14.25" customHeight="1" x14ac:dyDescent="0.35">
      <c r="A26" s="4">
        <f t="shared" si="0"/>
        <v>21</v>
      </c>
      <c r="B26" s="5" t="s">
        <v>27</v>
      </c>
      <c r="C26" s="18">
        <v>3</v>
      </c>
      <c r="D26" s="26">
        <f t="shared" si="3"/>
        <v>3.3300000000000003E-2</v>
      </c>
      <c r="E26" s="10">
        <v>120000</v>
      </c>
      <c r="F26" s="10">
        <f t="shared" si="2"/>
        <v>115000</v>
      </c>
    </row>
    <row r="27" spans="1:6" ht="14.25" customHeight="1" x14ac:dyDescent="0.35">
      <c r="A27" s="4">
        <f t="shared" si="0"/>
        <v>22</v>
      </c>
      <c r="B27" s="5" t="s">
        <v>28</v>
      </c>
      <c r="C27" s="18">
        <v>3.8</v>
      </c>
      <c r="D27" s="26">
        <f t="shared" si="3"/>
        <v>4.2200000000000001E-2</v>
      </c>
      <c r="E27" s="10">
        <v>90000</v>
      </c>
      <c r="F27" s="10">
        <f t="shared" si="2"/>
        <v>85000</v>
      </c>
    </row>
    <row r="28" spans="1:6" ht="14.25" customHeight="1" x14ac:dyDescent="0.35">
      <c r="A28" s="4">
        <f t="shared" si="0"/>
        <v>23</v>
      </c>
      <c r="B28" s="5" t="s">
        <v>29</v>
      </c>
      <c r="C28" s="18"/>
      <c r="D28" s="26"/>
      <c r="E28" s="10">
        <v>140000</v>
      </c>
      <c r="F28" s="10">
        <f t="shared" si="2"/>
        <v>135000</v>
      </c>
    </row>
    <row r="29" spans="1:6" ht="14.25" customHeight="1" x14ac:dyDescent="0.35">
      <c r="A29" s="4">
        <f t="shared" si="0"/>
        <v>24</v>
      </c>
      <c r="B29" s="5" t="s">
        <v>30</v>
      </c>
      <c r="C29" s="18">
        <v>3.5</v>
      </c>
      <c r="D29" s="26">
        <f t="shared" si="3"/>
        <v>3.8800000000000001E-2</v>
      </c>
      <c r="E29" s="10">
        <v>140000</v>
      </c>
      <c r="F29" s="10">
        <f t="shared" si="2"/>
        <v>135000</v>
      </c>
    </row>
    <row r="30" spans="1:6" ht="14.25" customHeight="1" x14ac:dyDescent="0.35">
      <c r="A30" s="4">
        <f t="shared" si="0"/>
        <v>25</v>
      </c>
      <c r="B30" s="5" t="s">
        <v>31</v>
      </c>
      <c r="C30" s="18"/>
      <c r="D30" s="26"/>
      <c r="E30" s="10">
        <v>130000</v>
      </c>
      <c r="F30" s="10">
        <f t="shared" si="2"/>
        <v>125000</v>
      </c>
    </row>
    <row r="31" spans="1:6" ht="14.25" customHeight="1" x14ac:dyDescent="0.35">
      <c r="A31" s="4">
        <f t="shared" si="0"/>
        <v>26</v>
      </c>
      <c r="B31" s="5" t="s">
        <v>32</v>
      </c>
      <c r="C31" s="18"/>
      <c r="D31" s="26"/>
      <c r="E31" s="10">
        <v>85000</v>
      </c>
      <c r="F31" s="10">
        <f t="shared" si="2"/>
        <v>80000</v>
      </c>
    </row>
    <row r="32" spans="1:6" ht="14.25" customHeight="1" x14ac:dyDescent="0.35">
      <c r="A32" s="4">
        <f t="shared" si="0"/>
        <v>27</v>
      </c>
      <c r="B32" s="5" t="s">
        <v>33</v>
      </c>
      <c r="C32" s="17">
        <v>4.5999999999999996</v>
      </c>
      <c r="D32" s="26">
        <f t="shared" si="3"/>
        <v>5.11E-2</v>
      </c>
      <c r="E32" s="10">
        <v>180000</v>
      </c>
      <c r="F32" s="10">
        <f>E32</f>
        <v>180000</v>
      </c>
    </row>
    <row r="33" spans="1:6" ht="14.25" customHeight="1" x14ac:dyDescent="0.35">
      <c r="A33" s="4">
        <f t="shared" si="0"/>
        <v>28</v>
      </c>
      <c r="B33" s="5" t="s">
        <v>34</v>
      </c>
      <c r="C33" s="18">
        <v>1</v>
      </c>
      <c r="D33" s="26">
        <f t="shared" si="3"/>
        <v>1.11E-2</v>
      </c>
      <c r="E33" s="10">
        <v>140000</v>
      </c>
      <c r="F33" s="10">
        <f t="shared" si="2"/>
        <v>135000</v>
      </c>
    </row>
    <row r="34" spans="1:6" ht="14.25" customHeight="1" x14ac:dyDescent="0.35">
      <c r="A34" s="4">
        <f t="shared" si="0"/>
        <v>29</v>
      </c>
      <c r="B34" s="5" t="s">
        <v>35</v>
      </c>
      <c r="C34" s="18">
        <v>0.4</v>
      </c>
      <c r="D34" s="26">
        <f t="shared" si="3"/>
        <v>4.4000000000000003E-3</v>
      </c>
      <c r="E34" s="10">
        <v>130000</v>
      </c>
      <c r="F34" s="10">
        <f t="shared" si="2"/>
        <v>125000</v>
      </c>
    </row>
    <row r="35" spans="1:6" ht="14.25" customHeight="1" x14ac:dyDescent="0.35">
      <c r="A35" s="4">
        <f t="shared" si="0"/>
        <v>30</v>
      </c>
      <c r="B35" s="5" t="s">
        <v>36</v>
      </c>
      <c r="C35" s="18">
        <v>0.4</v>
      </c>
      <c r="D35" s="26">
        <f t="shared" si="3"/>
        <v>4.4000000000000003E-3</v>
      </c>
      <c r="E35" s="10">
        <v>160000</v>
      </c>
      <c r="F35" s="22">
        <v>170000</v>
      </c>
    </row>
    <row r="36" spans="1:6" ht="14.25" customHeight="1" x14ac:dyDescent="0.35">
      <c r="A36" s="4">
        <f t="shared" si="0"/>
        <v>31</v>
      </c>
      <c r="B36" s="5" t="s">
        <v>37</v>
      </c>
      <c r="C36" s="18"/>
      <c r="D36" s="26"/>
      <c r="E36" s="10">
        <v>140000</v>
      </c>
      <c r="F36" s="10">
        <f t="shared" si="2"/>
        <v>135000</v>
      </c>
    </row>
    <row r="37" spans="1:6" ht="14.25" customHeight="1" x14ac:dyDescent="0.35">
      <c r="A37" s="4">
        <f t="shared" si="0"/>
        <v>32</v>
      </c>
      <c r="B37" s="5" t="s">
        <v>38</v>
      </c>
      <c r="C37" s="18"/>
      <c r="D37" s="26"/>
      <c r="E37" s="10"/>
      <c r="F37" s="10"/>
    </row>
    <row r="38" spans="1:6" ht="14.25" customHeight="1" x14ac:dyDescent="0.35">
      <c r="A38" s="4">
        <f t="shared" si="0"/>
        <v>33</v>
      </c>
      <c r="B38" s="5" t="s">
        <v>39</v>
      </c>
      <c r="C38" s="18">
        <v>0.4</v>
      </c>
      <c r="D38" s="26">
        <f t="shared" si="3"/>
        <v>4.4000000000000003E-3</v>
      </c>
      <c r="E38" s="10">
        <v>50000</v>
      </c>
      <c r="F38" s="10">
        <f t="shared" si="2"/>
        <v>45000</v>
      </c>
    </row>
    <row r="39" spans="1:6" ht="14.25" customHeight="1" x14ac:dyDescent="0.35">
      <c r="A39" s="4">
        <f t="shared" si="0"/>
        <v>34</v>
      </c>
      <c r="B39" s="5" t="s">
        <v>40</v>
      </c>
      <c r="C39" s="18"/>
      <c r="D39" s="26"/>
      <c r="E39" s="10">
        <v>100000</v>
      </c>
      <c r="F39" s="22">
        <v>110000</v>
      </c>
    </row>
    <row r="40" spans="1:6" ht="14.25" customHeight="1" x14ac:dyDescent="0.35">
      <c r="A40" s="4">
        <f t="shared" si="0"/>
        <v>35</v>
      </c>
      <c r="B40" s="5" t="s">
        <v>41</v>
      </c>
      <c r="C40" s="18">
        <v>2.5</v>
      </c>
      <c r="D40" s="26">
        <f t="shared" si="3"/>
        <v>2.7699999999999999E-2</v>
      </c>
      <c r="E40" s="10">
        <v>125000</v>
      </c>
      <c r="F40" s="10">
        <f t="shared" si="2"/>
        <v>120000</v>
      </c>
    </row>
    <row r="41" spans="1:6" ht="14.25" customHeight="1" x14ac:dyDescent="0.35">
      <c r="A41" s="4">
        <f t="shared" si="0"/>
        <v>36</v>
      </c>
      <c r="B41" s="5" t="s">
        <v>42</v>
      </c>
      <c r="C41" s="18">
        <v>2.2999999999999998</v>
      </c>
      <c r="D41" s="26">
        <f t="shared" si="3"/>
        <v>2.5499999999999998E-2</v>
      </c>
      <c r="E41" s="10">
        <v>115000</v>
      </c>
      <c r="F41" s="10">
        <f t="shared" si="2"/>
        <v>110000</v>
      </c>
    </row>
    <row r="42" spans="1:6" ht="14.25" customHeight="1" x14ac:dyDescent="0.35">
      <c r="A42" s="4">
        <f t="shared" si="0"/>
        <v>37</v>
      </c>
      <c r="B42" s="5" t="s">
        <v>43</v>
      </c>
      <c r="C42" s="18">
        <v>1.6</v>
      </c>
      <c r="D42" s="26">
        <f t="shared" si="3"/>
        <v>1.78E-2</v>
      </c>
      <c r="E42" s="10">
        <v>105000</v>
      </c>
      <c r="F42" s="10">
        <f t="shared" si="2"/>
        <v>100000</v>
      </c>
    </row>
    <row r="43" spans="1:6" ht="14.25" customHeight="1" x14ac:dyDescent="0.35">
      <c r="A43" s="4">
        <f t="shared" si="0"/>
        <v>38</v>
      </c>
      <c r="B43" s="5" t="s">
        <v>44</v>
      </c>
      <c r="C43" s="18">
        <v>1</v>
      </c>
      <c r="D43" s="26">
        <f t="shared" si="3"/>
        <v>1.11E-2</v>
      </c>
      <c r="E43" s="10">
        <v>100000</v>
      </c>
      <c r="F43" s="10">
        <f t="shared" si="2"/>
        <v>95000</v>
      </c>
    </row>
    <row r="44" spans="1:6" ht="14.25" customHeight="1" x14ac:dyDescent="0.35">
      <c r="A44" s="1"/>
    </row>
    <row r="45" spans="1:6" ht="14.25" customHeight="1" x14ac:dyDescent="0.35">
      <c r="A45" s="1"/>
    </row>
    <row r="46" spans="1:6" ht="14.25" customHeight="1" x14ac:dyDescent="0.35">
      <c r="A46" s="1"/>
    </row>
    <row r="47" spans="1:6" ht="14.25" customHeight="1" x14ac:dyDescent="0.35">
      <c r="A47" s="1"/>
    </row>
    <row r="48" spans="1:6" ht="14.25" customHeight="1" x14ac:dyDescent="0.35">
      <c r="A48" s="1"/>
    </row>
    <row r="49" spans="1:1" ht="14.25" customHeight="1" x14ac:dyDescent="0.35">
      <c r="A49" s="1"/>
    </row>
    <row r="50" spans="1:1" ht="14.25" customHeight="1" x14ac:dyDescent="0.35">
      <c r="A50" s="1"/>
    </row>
    <row r="51" spans="1:1" ht="14.25" customHeight="1" x14ac:dyDescent="0.35">
      <c r="A51" s="1"/>
    </row>
    <row r="52" spans="1:1" ht="14.25" customHeight="1" x14ac:dyDescent="0.35">
      <c r="A52" s="1"/>
    </row>
    <row r="53" spans="1:1" ht="14.25" customHeight="1" x14ac:dyDescent="0.35">
      <c r="A53" s="1"/>
    </row>
    <row r="54" spans="1:1" ht="14.25" customHeight="1" x14ac:dyDescent="0.35">
      <c r="A54" s="1"/>
    </row>
    <row r="55" spans="1:1" ht="14.25" customHeight="1" x14ac:dyDescent="0.35">
      <c r="A55" s="1"/>
    </row>
    <row r="56" spans="1:1" ht="14.25" customHeight="1" x14ac:dyDescent="0.35">
      <c r="A56" s="1"/>
    </row>
    <row r="57" spans="1:1" ht="14.25" customHeight="1" x14ac:dyDescent="0.35">
      <c r="A57" s="1"/>
    </row>
    <row r="58" spans="1:1" ht="14.25" customHeight="1" x14ac:dyDescent="0.35">
      <c r="A58" s="1"/>
    </row>
    <row r="59" spans="1:1" ht="14.25" customHeight="1" x14ac:dyDescent="0.35">
      <c r="A59" s="1"/>
    </row>
    <row r="60" spans="1:1" ht="14.25" customHeight="1" x14ac:dyDescent="0.35">
      <c r="A60" s="1"/>
    </row>
    <row r="61" spans="1:1" ht="14.25" customHeight="1" x14ac:dyDescent="0.35">
      <c r="A61" s="1"/>
    </row>
    <row r="62" spans="1:1" ht="14.25" customHeight="1" x14ac:dyDescent="0.35">
      <c r="A62" s="1"/>
    </row>
    <row r="63" spans="1:1" ht="14.25" customHeight="1" x14ac:dyDescent="0.35">
      <c r="A63" s="1"/>
    </row>
    <row r="64" spans="1:1" ht="14.25" customHeight="1" x14ac:dyDescent="0.35">
      <c r="A64" s="1"/>
    </row>
    <row r="65" spans="1:1" ht="14.25" customHeight="1" x14ac:dyDescent="0.35">
      <c r="A65" s="1"/>
    </row>
    <row r="66" spans="1:1" ht="14.25" customHeight="1" x14ac:dyDescent="0.35">
      <c r="A66" s="1"/>
    </row>
    <row r="67" spans="1:1" ht="14.25" customHeight="1" x14ac:dyDescent="0.35">
      <c r="A67" s="1"/>
    </row>
    <row r="68" spans="1:1" ht="14.25" customHeight="1" x14ac:dyDescent="0.35">
      <c r="A68" s="1"/>
    </row>
    <row r="69" spans="1:1" ht="14.25" customHeight="1" x14ac:dyDescent="0.35">
      <c r="A69" s="1"/>
    </row>
    <row r="70" spans="1:1" ht="14.25" customHeight="1" x14ac:dyDescent="0.35">
      <c r="A70" s="1"/>
    </row>
    <row r="71" spans="1:1" ht="14.25" customHeight="1" x14ac:dyDescent="0.35">
      <c r="A71" s="1"/>
    </row>
    <row r="72" spans="1:1" ht="14.25" customHeight="1" x14ac:dyDescent="0.35">
      <c r="A72" s="1"/>
    </row>
    <row r="73" spans="1:1" ht="14.25" customHeight="1" x14ac:dyDescent="0.35">
      <c r="A73" s="1"/>
    </row>
    <row r="74" spans="1:1" ht="14.25" customHeight="1" x14ac:dyDescent="0.35">
      <c r="A74" s="1"/>
    </row>
    <row r="75" spans="1:1" ht="14.25" customHeight="1" x14ac:dyDescent="0.35">
      <c r="A75" s="1"/>
    </row>
    <row r="76" spans="1:1" ht="14.25" customHeight="1" x14ac:dyDescent="0.35">
      <c r="A76" s="1"/>
    </row>
    <row r="77" spans="1:1" ht="14.25" customHeight="1" x14ac:dyDescent="0.35">
      <c r="A77" s="1"/>
    </row>
    <row r="78" spans="1:1" ht="14.25" customHeight="1" x14ac:dyDescent="0.35">
      <c r="A78" s="1"/>
    </row>
    <row r="79" spans="1:1" ht="14.25" customHeight="1" x14ac:dyDescent="0.35">
      <c r="A79" s="1"/>
    </row>
    <row r="80" spans="1:1" ht="14.25" customHeight="1" x14ac:dyDescent="0.35">
      <c r="A80" s="1"/>
    </row>
    <row r="81" spans="1:1" ht="14.25" customHeight="1" x14ac:dyDescent="0.35">
      <c r="A81" s="1"/>
    </row>
    <row r="82" spans="1:1" ht="14.25" customHeight="1" x14ac:dyDescent="0.35">
      <c r="A82" s="1"/>
    </row>
    <row r="83" spans="1:1" ht="14.25" customHeight="1" x14ac:dyDescent="0.35">
      <c r="A83" s="1"/>
    </row>
    <row r="84" spans="1:1" ht="14.25" customHeight="1" x14ac:dyDescent="0.35">
      <c r="A84" s="1"/>
    </row>
    <row r="85" spans="1:1" ht="14.25" customHeight="1" x14ac:dyDescent="0.35">
      <c r="A85" s="1"/>
    </row>
    <row r="86" spans="1:1" ht="14.25" customHeight="1" x14ac:dyDescent="0.35">
      <c r="A86" s="1"/>
    </row>
    <row r="87" spans="1:1" ht="14.25" customHeight="1" x14ac:dyDescent="0.35">
      <c r="A87" s="1"/>
    </row>
    <row r="88" spans="1:1" ht="14.25" customHeight="1" x14ac:dyDescent="0.35">
      <c r="A88" s="1"/>
    </row>
    <row r="89" spans="1:1" ht="14.25" customHeight="1" x14ac:dyDescent="0.35">
      <c r="A89" s="1"/>
    </row>
    <row r="90" spans="1:1" ht="14.25" customHeight="1" x14ac:dyDescent="0.35">
      <c r="A90" s="1"/>
    </row>
    <row r="91" spans="1:1" ht="14.25" customHeight="1" x14ac:dyDescent="0.35">
      <c r="A91" s="1"/>
    </row>
    <row r="92" spans="1:1" ht="14.25" customHeight="1" x14ac:dyDescent="0.35">
      <c r="A92" s="1"/>
    </row>
    <row r="93" spans="1:1" ht="14.25" customHeight="1" x14ac:dyDescent="0.35">
      <c r="A93" s="1"/>
    </row>
    <row r="94" spans="1:1" ht="14.25" customHeight="1" x14ac:dyDescent="0.35">
      <c r="A94" s="1"/>
    </row>
    <row r="95" spans="1:1" ht="14.25" customHeight="1" x14ac:dyDescent="0.35">
      <c r="A95" s="1"/>
    </row>
    <row r="96" spans="1:1" ht="14.25" customHeight="1" x14ac:dyDescent="0.35">
      <c r="A96" s="1"/>
    </row>
    <row r="97" spans="1:1" ht="14.25" customHeight="1" x14ac:dyDescent="0.35">
      <c r="A97" s="1"/>
    </row>
    <row r="98" spans="1:1" ht="14.25" customHeight="1" x14ac:dyDescent="0.35">
      <c r="A98" s="1"/>
    </row>
    <row r="99" spans="1:1" ht="14.25" customHeight="1" x14ac:dyDescent="0.35">
      <c r="A99" s="1"/>
    </row>
    <row r="100" spans="1:1" ht="14.25" customHeight="1" x14ac:dyDescent="0.35">
      <c r="A100" s="1"/>
    </row>
  </sheetData>
  <mergeCells count="5">
    <mergeCell ref="A1:F1"/>
    <mergeCell ref="A3:B3"/>
    <mergeCell ref="A4:B4"/>
    <mergeCell ref="C3:D3"/>
    <mergeCell ref="E3:F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BÁO CÁO NGÀY</vt:lpstr>
      <vt:lpstr>NGÀY 21</vt:lpstr>
      <vt:lpstr>NGÀY 22</vt:lpstr>
      <vt:lpstr>NGÀY 23</vt:lpstr>
      <vt:lpstr>NGÀY 24</vt:lpstr>
      <vt:lpstr>NGÀY 25</vt:lpstr>
      <vt:lpstr>NGÀY 26</vt:lpstr>
      <vt:lpstr>NGÀY 27</vt:lpstr>
      <vt:lpstr>NGÀY 28</vt:lpstr>
      <vt:lpstr>NGÀY 29</vt:lpstr>
      <vt:lpstr>NGÀY 30</vt:lpstr>
      <vt:lpstr>NGÀY 31</vt:lpstr>
      <vt:lpstr>nauwr con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Phuc</cp:lastModifiedBy>
  <cp:lastPrinted>2021-12-17T06:40:03Z</cp:lastPrinted>
  <dcterms:created xsi:type="dcterms:W3CDTF">2021-04-14T08:34:31Z</dcterms:created>
  <dcterms:modified xsi:type="dcterms:W3CDTF">2022-11-22T12:57:05Z</dcterms:modified>
</cp:coreProperties>
</file>