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ject\PMS_Thit\PMS.CanPhaLoc\Template\"/>
    </mc:Choice>
  </mc:AlternateContent>
  <xr:revisionPtr revIDLastSave="0" documentId="13_ncr:1_{370BDC51-B24B-4E5C-BE9A-C8CC9F77C385}" xr6:coauthVersionLast="47" xr6:coauthVersionMax="47" xr10:uidLastSave="{00000000-0000-0000-0000-000000000000}"/>
  <bookViews>
    <workbookView xWindow="-23148" yWindow="-108" windowWidth="23256" windowHeight="13176" xr2:uid="{BC5AD3A8-7EFF-4D52-A0A1-39365ECD50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9" i="1" l="1"/>
  <c r="C6" i="1" l="1"/>
  <c r="B12" i="1"/>
  <c r="B13" i="1"/>
  <c r="D19" i="1"/>
  <c r="B10" i="1" l="1"/>
  <c r="E19" i="1"/>
  <c r="B11" i="1"/>
  <c r="B9" i="1" l="1"/>
  <c r="C14" i="1" s="1"/>
  <c r="B14" i="1" l="1"/>
  <c r="C12" i="1"/>
  <c r="C13" i="1"/>
  <c r="C10" i="1"/>
  <c r="C11" i="1"/>
  <c r="C9" i="1" l="1"/>
</calcChain>
</file>

<file path=xl/sharedStrings.xml><?xml version="1.0" encoding="utf-8"?>
<sst xmlns="http://schemas.openxmlformats.org/spreadsheetml/2006/main" count="23" uniqueCount="23">
  <si>
    <t>BẢNG CHI TIẾT TỶ LỆ PHA LÓC THÁNG 12</t>
  </si>
  <si>
    <t>II. Heo mãnh</t>
  </si>
  <si>
    <t>Tổng số lượng</t>
  </si>
  <si>
    <t>TLBQ mãnh/kg</t>
  </si>
  <si>
    <t>Tổng trọng lượng mãnh/kg</t>
  </si>
  <si>
    <t>Heo mãnh</t>
  </si>
  <si>
    <t>III. Xương và thịt</t>
  </si>
  <si>
    <t>Trọng lượng/kg</t>
  </si>
  <si>
    <t>Tỷ lệ %</t>
  </si>
  <si>
    <t>Tổng cộng:</t>
  </si>
  <si>
    <t>Thịt</t>
  </si>
  <si>
    <t>Xương</t>
  </si>
  <si>
    <t>Mỡ</t>
  </si>
  <si>
    <t>Chân giò</t>
  </si>
  <si>
    <t>Hao hụt</t>
  </si>
  <si>
    <t>IV. Chi tiết pha lóc</t>
  </si>
  <si>
    <t>STT</t>
  </si>
  <si>
    <t>Mặt hàng</t>
  </si>
  <si>
    <t>Tỷ lệ</t>
  </si>
  <si>
    <t>ĐỊNH MỨC</t>
  </si>
  <si>
    <t>Trọng lượng đinh mức/CON</t>
  </si>
  <si>
    <t>Trọng lượng định mức/ tổng sl</t>
  </si>
  <si>
    <t>TỔNG CỘNG: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</si>
</sst>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1"/>
      <color rgb="FF000000"/>
      <name val="Calibri"/>
      <family val="2"/>
    </font>
    <font>
      <sz val="12"/>
      <color rgb="FF000000"/>
      <name val="Times New Roman"/>
      <family val="1"/>
    </font>
    <font>
      <sz val="12"/>
      <color rgb="FF000000"/>
      <name val="Calibri"/>
      <family val="2"/>
    </font>
    <font>
      <b/>
      <sz val="12"/>
      <color rgb="FF000000"/>
      <name val="Times New Roman"/>
      <family val="1"/>
    </font>
    <font>
      <b/>
      <i/>
      <sz val="12"/>
      <color rgb="FFFF0000"/>
      <name val="Times New Roman"/>
      <family val="1"/>
    </font>
    <font>
      <b/>
      <sz val="11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43" fontId="2" fillId="0" borderId="0" xfId="1" applyFont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43" fontId="3" fillId="0" borderId="0" xfId="1" applyFont="1" applyAlignment="1">
      <alignment horizontal="center" vertical="center"/>
    </xf>
    <xf numFmtId="43" fontId="3" fillId="0" borderId="0" xfId="1" applyFont="1" applyAlignment="1">
      <alignment vertical="center"/>
    </xf>
    <xf numFmtId="43" fontId="3" fillId="0" borderId="0" xfId="1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43" fontId="5" fillId="0" borderId="1" xfId="1" applyFont="1" applyBorder="1" applyAlignment="1">
      <alignment horizontal="center" vertical="center" wrapText="1"/>
    </xf>
    <xf numFmtId="43" fontId="6" fillId="0" borderId="0" xfId="1" applyFont="1" applyAlignment="1">
      <alignment vertical="center" wrapText="1"/>
    </xf>
    <xf numFmtId="43" fontId="5" fillId="0" borderId="0" xfId="1" applyFont="1" applyFill="1" applyBorder="1" applyAlignment="1">
      <alignment horizontal="center" vertical="center" wrapText="1"/>
    </xf>
    <xf numFmtId="43" fontId="6" fillId="0" borderId="0" xfId="1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5" fillId="0" borderId="1" xfId="0" applyFont="1" applyBorder="1" applyAlignment="1">
      <alignment horizontal="left" vertical="center"/>
    </xf>
    <xf numFmtId="43" fontId="5" fillId="0" borderId="1" xfId="1" applyFont="1" applyFill="1" applyBorder="1" applyAlignment="1">
      <alignment horizontal="center" vertical="center"/>
    </xf>
    <xf numFmtId="43" fontId="5" fillId="0" borderId="1" xfId="1" applyFont="1" applyFill="1" applyBorder="1" applyAlignment="1">
      <alignment vertical="center"/>
    </xf>
    <xf numFmtId="43" fontId="6" fillId="0" borderId="0" xfId="1" applyFont="1" applyAlignment="1">
      <alignment vertical="center"/>
    </xf>
    <xf numFmtId="43" fontId="5" fillId="0" borderId="0" xfId="1" applyFont="1" applyFill="1" applyBorder="1" applyAlignment="1">
      <alignment vertical="center"/>
    </xf>
    <xf numFmtId="43" fontId="6" fillId="0" borderId="0" xfId="1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1" xfId="0" applyFont="1" applyBorder="1" applyAlignment="1">
      <alignment horizontal="left" vertical="center"/>
    </xf>
    <xf numFmtId="43" fontId="7" fillId="0" borderId="1" xfId="1" applyFont="1" applyBorder="1" applyAlignment="1">
      <alignment horizontal="center" vertical="center"/>
    </xf>
    <xf numFmtId="164" fontId="7" fillId="0" borderId="1" xfId="1" applyNumberFormat="1" applyFont="1" applyBorder="1" applyAlignment="1">
      <alignment horizontal="center" vertical="center"/>
    </xf>
    <xf numFmtId="43" fontId="5" fillId="0" borderId="0" xfId="1" applyFont="1" applyAlignment="1">
      <alignment vertical="center"/>
    </xf>
    <xf numFmtId="43" fontId="5" fillId="0" borderId="0" xfId="1" applyFont="1" applyBorder="1" applyAlignment="1">
      <alignment vertical="center"/>
    </xf>
    <xf numFmtId="43" fontId="5" fillId="0" borderId="1" xfId="1" applyFont="1" applyBorder="1" applyAlignment="1">
      <alignment horizontal="center" vertical="center"/>
    </xf>
    <xf numFmtId="10" fontId="5" fillId="0" borderId="1" xfId="2" applyNumberFormat="1" applyFont="1" applyFill="1" applyBorder="1" applyAlignment="1">
      <alignment horizontal="center" vertical="center"/>
    </xf>
    <xf numFmtId="164" fontId="5" fillId="0" borderId="1" xfId="0" applyNumberFormat="1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43" fontId="8" fillId="0" borderId="1" xfId="1" applyFont="1" applyBorder="1" applyAlignment="1">
      <alignment horizontal="center" vertical="center"/>
    </xf>
    <xf numFmtId="10" fontId="8" fillId="0" borderId="1" xfId="2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3" fontId="3" fillId="2" borderId="1" xfId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43" fontId="0" fillId="0" borderId="0" xfId="1" applyFont="1" applyAlignment="1">
      <alignment horizontal="center" vertical="center"/>
    </xf>
    <xf numFmtId="43" fontId="0" fillId="0" borderId="0" xfId="1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3" fontId="3" fillId="2" borderId="1" xfId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43" fontId="3" fillId="2" borderId="2" xfId="1" applyFont="1" applyFill="1" applyBorder="1" applyAlignment="1">
      <alignment horizontal="center" vertical="center" wrapText="1"/>
    </xf>
    <xf numFmtId="9" fontId="3" fillId="2" borderId="2" xfId="0" applyNumberFormat="1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/>
    </xf>
    <xf numFmtId="43" fontId="10" fillId="0" borderId="0" xfId="1" applyFont="1" applyBorder="1" applyAlignment="1">
      <alignment horizontal="left" vertical="center"/>
    </xf>
    <xf numFmtId="10" fontId="11" fillId="0" borderId="0" xfId="2" applyNumberFormat="1" applyFont="1" applyFill="1" applyBorder="1" applyAlignment="1">
      <alignment vertical="center"/>
    </xf>
    <xf numFmtId="43" fontId="11" fillId="0" borderId="0" xfId="1" applyFont="1" applyFill="1" applyBorder="1" applyAlignment="1">
      <alignment vertical="center"/>
    </xf>
    <xf numFmtId="0" fontId="12" fillId="0" borderId="0" xfId="0" applyFont="1" applyBorder="1" applyAlignment="1">
      <alignment horizontal="center" vertical="center"/>
    </xf>
    <xf numFmtId="43" fontId="0" fillId="0" borderId="0" xfId="1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43" fontId="0" fillId="0" borderId="0" xfId="1" applyFont="1" applyBorder="1" applyAlignment="1">
      <alignment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</xdr:colOff>
      <xdr:row>0</xdr:row>
      <xdr:rowOff>38101</xdr:rowOff>
    </xdr:from>
    <xdr:to>
      <xdr:col>2</xdr:col>
      <xdr:colOff>397509</xdr:colOff>
      <xdr:row>3</xdr:row>
      <xdr:rowOff>1905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5F4118-F1FC-44D7-866D-CFCFEA047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" y="38101"/>
          <a:ext cx="1502409" cy="5333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45962-B342-4D5D-89AF-AC65F0944837}">
  <dimension ref="A3:AO98"/>
  <sheetViews>
    <sheetView tabSelected="1" topLeftCell="A14" workbookViewId="0">
      <selection activeCell="H19" sqref="H19"/>
    </sheetView>
  </sheetViews>
  <sheetFormatPr defaultColWidth="14.44140625" defaultRowHeight="15" customHeight="1" x14ac:dyDescent="0.3"/>
  <cols>
    <col min="1" max="1" width="11.5546875" style="2" customWidth="1"/>
    <col min="2" max="2" width="17" style="36" bestFit="1" customWidth="1"/>
    <col min="3" max="3" width="12.6640625" style="2" customWidth="1"/>
    <col min="4" max="4" width="14" style="37" bestFit="1" customWidth="1"/>
    <col min="5" max="5" width="12.44140625" style="37" customWidth="1"/>
    <col min="6" max="8" width="10.109375" style="37" customWidth="1"/>
    <col min="9" max="9" width="13.88671875" style="37" customWidth="1"/>
    <col min="10" max="10" width="10.109375" style="37" customWidth="1"/>
    <col min="11" max="11" width="14.88671875" style="37" customWidth="1"/>
    <col min="12" max="12" width="18.109375" style="37" customWidth="1"/>
    <col min="13" max="13" width="10.109375" style="37" customWidth="1"/>
    <col min="14" max="14" width="19.88671875" style="37" customWidth="1"/>
    <col min="15" max="15" width="25.5546875" style="37" customWidth="1"/>
    <col min="16" max="16" width="10.109375" style="37" customWidth="1"/>
    <col min="17" max="17" width="20" style="37" customWidth="1"/>
    <col min="18" max="18" width="23.6640625" style="37" customWidth="1"/>
    <col min="19" max="19" width="10.109375" style="37" customWidth="1"/>
    <col min="20" max="20" width="21.44140625" style="37" customWidth="1"/>
    <col min="21" max="41" width="10.109375" style="37" customWidth="1"/>
    <col min="42" max="16384" width="14.44140625" style="2"/>
  </cols>
  <sheetData>
    <row r="3" spans="1:41" ht="41.4" customHeight="1" x14ac:dyDescent="0.3">
      <c r="A3" s="39" t="s">
        <v>0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 s="7" customFormat="1" ht="20.100000000000001" customHeight="1" x14ac:dyDescent="0.3">
      <c r="A4" s="3" t="s">
        <v>1</v>
      </c>
      <c r="B4" s="4"/>
      <c r="C4" s="3"/>
      <c r="D4" s="5"/>
      <c r="E4" s="5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</row>
    <row r="5" spans="1:41" s="13" customFormat="1" ht="44.1" customHeight="1" x14ac:dyDescent="0.3">
      <c r="A5" s="8"/>
      <c r="B5" s="9" t="s">
        <v>2</v>
      </c>
      <c r="C5" s="9" t="s">
        <v>3</v>
      </c>
      <c r="D5" s="9" t="s">
        <v>4</v>
      </c>
      <c r="E5" s="10"/>
      <c r="F5" s="11"/>
      <c r="G5" s="12"/>
      <c r="H5" s="12"/>
      <c r="I5" s="11"/>
      <c r="J5" s="12"/>
      <c r="K5" s="12"/>
      <c r="L5" s="11"/>
      <c r="M5" s="12"/>
      <c r="N5" s="12"/>
      <c r="O5" s="11"/>
      <c r="P5" s="12"/>
      <c r="Q5" s="12"/>
      <c r="R5" s="11"/>
      <c r="S5" s="12"/>
      <c r="T5" s="12"/>
      <c r="U5" s="11"/>
      <c r="V5" s="12"/>
      <c r="W5" s="12"/>
      <c r="X5" s="11"/>
      <c r="Y5" s="12"/>
      <c r="Z5" s="12"/>
      <c r="AA5" s="11"/>
      <c r="AB5" s="12"/>
      <c r="AC5" s="12"/>
      <c r="AD5" s="11"/>
      <c r="AE5" s="12"/>
      <c r="AF5" s="12"/>
      <c r="AG5" s="11"/>
      <c r="AH5" s="12"/>
      <c r="AI5" s="12"/>
      <c r="AJ5" s="11"/>
      <c r="AK5" s="12"/>
      <c r="AL5" s="12"/>
      <c r="AM5" s="11"/>
      <c r="AN5" s="12"/>
      <c r="AO5" s="12"/>
    </row>
    <row r="6" spans="1:41" s="20" customFormat="1" ht="20.100000000000001" customHeight="1" x14ac:dyDescent="0.3">
      <c r="A6" s="14" t="s">
        <v>5</v>
      </c>
      <c r="B6" s="15">
        <v>0</v>
      </c>
      <c r="C6" s="15">
        <f>IF(B6=0,0,D6/B6)</f>
        <v>0</v>
      </c>
      <c r="D6" s="16">
        <v>0</v>
      </c>
      <c r="E6" s="17"/>
      <c r="F6" s="18"/>
      <c r="G6" s="19"/>
      <c r="H6" s="19"/>
      <c r="I6" s="18"/>
      <c r="J6" s="19"/>
      <c r="K6" s="19"/>
      <c r="L6" s="18"/>
      <c r="M6" s="19"/>
      <c r="N6" s="19"/>
      <c r="O6" s="18"/>
      <c r="P6" s="19"/>
      <c r="Q6" s="19"/>
      <c r="R6" s="18"/>
      <c r="S6" s="19"/>
      <c r="T6" s="19"/>
      <c r="U6" s="18"/>
      <c r="V6" s="19"/>
      <c r="W6" s="19"/>
      <c r="X6" s="18"/>
      <c r="Y6" s="19"/>
      <c r="Z6" s="19"/>
      <c r="AA6" s="18"/>
      <c r="AB6" s="19"/>
      <c r="AC6" s="19"/>
      <c r="AD6" s="18"/>
      <c r="AE6" s="19"/>
      <c r="AF6" s="19"/>
      <c r="AG6" s="18"/>
      <c r="AH6" s="19"/>
      <c r="AI6" s="19"/>
      <c r="AJ6" s="18"/>
      <c r="AK6" s="19"/>
      <c r="AL6" s="19"/>
      <c r="AM6" s="18"/>
      <c r="AN6" s="19"/>
      <c r="AO6" s="19"/>
    </row>
    <row r="7" spans="1:41" s="7" customFormat="1" ht="19.350000000000001" customHeight="1" x14ac:dyDescent="0.3">
      <c r="A7" s="3" t="s">
        <v>6</v>
      </c>
      <c r="B7" s="4"/>
      <c r="C7" s="3"/>
      <c r="D7" s="5"/>
      <c r="E7" s="5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</row>
    <row r="8" spans="1:41" s="20" customFormat="1" ht="19.350000000000001" customHeight="1" x14ac:dyDescent="0.3">
      <c r="A8" s="21"/>
      <c r="B8" s="22" t="s">
        <v>7</v>
      </c>
      <c r="C8" s="23" t="s">
        <v>8</v>
      </c>
      <c r="D8" s="24"/>
      <c r="E8" s="24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</row>
    <row r="9" spans="1:41" s="20" customFormat="1" ht="19.350000000000001" customHeight="1" x14ac:dyDescent="0.3">
      <c r="A9" s="14" t="s">
        <v>9</v>
      </c>
      <c r="B9" s="26">
        <f>SUM(B10:B13)</f>
        <v>0</v>
      </c>
      <c r="C9" s="27">
        <f>SUM(C10:C13)</f>
        <v>0</v>
      </c>
      <c r="D9" s="24"/>
      <c r="E9" s="24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</row>
    <row r="10" spans="1:41" s="20" customFormat="1" ht="19.350000000000001" customHeight="1" x14ac:dyDescent="0.3">
      <c r="A10" s="14" t="s">
        <v>10</v>
      </c>
      <c r="B10" s="26">
        <f>SUM(E21,E22,E23,E24,E31,E32,E33)</f>
        <v>0</v>
      </c>
      <c r="C10" s="27">
        <f>IF(B10=0,0,B10/$B$9)</f>
        <v>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</row>
    <row r="11" spans="1:41" s="20" customFormat="1" ht="19.350000000000001" customHeight="1" x14ac:dyDescent="0.3">
      <c r="A11" s="14" t="s">
        <v>11</v>
      </c>
      <c r="B11" s="26">
        <f>SUM(E34,E35,E36,E37,E38,E39,E40,E41,E42)</f>
        <v>0</v>
      </c>
      <c r="C11" s="27">
        <f t="shared" ref="C11:C13" si="0">IF(B11=0,0,B11/$B$9)</f>
        <v>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</row>
    <row r="12" spans="1:41" s="20" customFormat="1" ht="19.350000000000001" customHeight="1" x14ac:dyDescent="0.3">
      <c r="A12" s="28" t="s">
        <v>12</v>
      </c>
      <c r="B12" s="26">
        <f>SUM(E27,E28,E29,E30)</f>
        <v>0</v>
      </c>
      <c r="C12" s="27">
        <f t="shared" si="0"/>
        <v>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</row>
    <row r="13" spans="1:41" s="20" customFormat="1" ht="19.350000000000001" customHeight="1" x14ac:dyDescent="0.3">
      <c r="A13" s="14" t="s">
        <v>13</v>
      </c>
      <c r="B13" s="26">
        <f>SUM(E25,E26)</f>
        <v>0</v>
      </c>
      <c r="C13" s="27">
        <f t="shared" si="0"/>
        <v>0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</row>
    <row r="14" spans="1:41" s="20" customFormat="1" ht="19.350000000000001" customHeight="1" x14ac:dyDescent="0.3">
      <c r="A14" s="29" t="s">
        <v>14</v>
      </c>
      <c r="B14" s="30">
        <f>D6-B9</f>
        <v>0</v>
      </c>
      <c r="C14" s="31">
        <f>IF($B$9=0,0,B14/$B$9)</f>
        <v>0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</row>
    <row r="15" spans="1:41" s="7" customFormat="1" ht="20.100000000000001" customHeight="1" x14ac:dyDescent="0.3">
      <c r="A15" s="32" t="s">
        <v>15</v>
      </c>
      <c r="B15" s="4"/>
      <c r="C15" s="3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s="7" customFormat="1" ht="20.100000000000001" customHeight="1" x14ac:dyDescent="0.3">
      <c r="A16" s="38" t="s">
        <v>16</v>
      </c>
      <c r="B16" s="40" t="s">
        <v>17</v>
      </c>
      <c r="C16" s="41" t="s">
        <v>18</v>
      </c>
      <c r="D16" s="40" t="s">
        <v>19</v>
      </c>
      <c r="E16" s="40"/>
    </row>
    <row r="17" spans="1:41" s="7" customFormat="1" ht="20.100000000000001" customHeight="1" x14ac:dyDescent="0.3">
      <c r="A17" s="38"/>
      <c r="B17" s="40"/>
      <c r="C17" s="41"/>
      <c r="D17" s="40"/>
      <c r="E17" s="40"/>
    </row>
    <row r="18" spans="1:41" ht="51" customHeight="1" x14ac:dyDescent="0.3">
      <c r="A18" s="38"/>
      <c r="B18" s="40"/>
      <c r="C18" s="41"/>
      <c r="D18" s="33" t="s">
        <v>20</v>
      </c>
      <c r="E18" s="33" t="s">
        <v>21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1:41" ht="21" customHeight="1" x14ac:dyDescent="0.3">
      <c r="A19" s="38" t="s">
        <v>22</v>
      </c>
      <c r="B19" s="38"/>
      <c r="C19" s="34">
        <f>SUBTOTAL(9,C21:C43)</f>
        <v>0</v>
      </c>
      <c r="D19" s="33" t="e">
        <f>SUBTOTAL(1,D21:D43)</f>
        <v>#DIV/0!</v>
      </c>
      <c r="E19" s="33">
        <f>SUBTOTAL(9,E21:E43)</f>
        <v>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1:41" ht="21" customHeight="1" x14ac:dyDescent="0.3">
      <c r="A20" s="42"/>
      <c r="B20" s="43"/>
      <c r="C20" s="44"/>
      <c r="D20" s="43"/>
      <c r="E20" s="4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1" ht="21" customHeight="1" x14ac:dyDescent="0.3">
      <c r="A21" s="45"/>
      <c r="B21" s="46"/>
      <c r="C21" s="47"/>
      <c r="D21" s="48"/>
      <c r="E21" s="48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1" ht="21" customHeight="1" x14ac:dyDescent="0.3">
      <c r="A22" s="45"/>
      <c r="B22" s="46"/>
      <c r="C22" s="47"/>
      <c r="D22" s="48"/>
      <c r="E22" s="48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1" ht="21" customHeight="1" x14ac:dyDescent="0.3">
      <c r="A23" s="45"/>
      <c r="B23" s="46"/>
      <c r="C23" s="47"/>
      <c r="D23" s="48"/>
      <c r="E23" s="48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1" ht="21" customHeight="1" x14ac:dyDescent="0.3">
      <c r="A24" s="45"/>
      <c r="B24" s="46"/>
      <c r="C24" s="47"/>
      <c r="D24" s="48"/>
      <c r="E24" s="48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1:41" ht="21" customHeight="1" x14ac:dyDescent="0.3">
      <c r="A25" s="45"/>
      <c r="B25" s="46"/>
      <c r="C25" s="47"/>
      <c r="D25" s="48"/>
      <c r="E25" s="48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1:41" ht="21" customHeight="1" x14ac:dyDescent="0.3">
      <c r="A26" s="45"/>
      <c r="B26" s="46"/>
      <c r="C26" s="47"/>
      <c r="D26" s="48"/>
      <c r="E26" s="48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1:41" ht="21" customHeight="1" x14ac:dyDescent="0.3">
      <c r="A27" s="45"/>
      <c r="B27" s="46"/>
      <c r="C27" s="47"/>
      <c r="D27" s="48"/>
      <c r="E27" s="48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1:41" ht="21" customHeight="1" x14ac:dyDescent="0.3">
      <c r="A28" s="45"/>
      <c r="B28" s="46"/>
      <c r="C28" s="47"/>
      <c r="D28" s="48"/>
      <c r="E28" s="48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1:41" ht="21" customHeight="1" x14ac:dyDescent="0.3">
      <c r="A29" s="45"/>
      <c r="B29" s="46"/>
      <c r="C29" s="47"/>
      <c r="D29" s="48"/>
      <c r="E29" s="48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1:41" ht="21" customHeight="1" x14ac:dyDescent="0.3">
      <c r="A30" s="45"/>
      <c r="B30" s="46"/>
      <c r="C30" s="47"/>
      <c r="D30" s="48"/>
      <c r="E30" s="48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1:41" ht="21" customHeight="1" x14ac:dyDescent="0.3">
      <c r="A31" s="45"/>
      <c r="B31" s="46"/>
      <c r="C31" s="47"/>
      <c r="D31" s="48"/>
      <c r="E31" s="48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1:41" ht="21" customHeight="1" x14ac:dyDescent="0.3">
      <c r="A32" s="45"/>
      <c r="B32" s="46"/>
      <c r="C32" s="47"/>
      <c r="D32" s="48"/>
      <c r="E32" s="48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1:41" ht="21" customHeight="1" x14ac:dyDescent="0.3">
      <c r="A33" s="45"/>
      <c r="B33" s="46"/>
      <c r="C33" s="47"/>
      <c r="D33" s="48"/>
      <c r="E33" s="48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1:41" ht="21" customHeight="1" x14ac:dyDescent="0.3">
      <c r="A34" s="45"/>
      <c r="B34" s="46"/>
      <c r="C34" s="47"/>
      <c r="D34" s="48"/>
      <c r="E34" s="48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1:41" ht="21" customHeight="1" x14ac:dyDescent="0.3">
      <c r="A35" s="45"/>
      <c r="B35" s="46"/>
      <c r="C35" s="47"/>
      <c r="D35" s="48"/>
      <c r="E35" s="48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1:41" ht="21" customHeight="1" x14ac:dyDescent="0.3">
      <c r="A36" s="45"/>
      <c r="B36" s="46"/>
      <c r="C36" s="47"/>
      <c r="D36" s="48"/>
      <c r="E36" s="48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1:41" ht="21" customHeight="1" x14ac:dyDescent="0.3">
      <c r="A37" s="45"/>
      <c r="B37" s="46"/>
      <c r="C37" s="47"/>
      <c r="D37" s="48"/>
      <c r="E37" s="48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1:41" ht="21" customHeight="1" x14ac:dyDescent="0.3">
      <c r="A38" s="45"/>
      <c r="B38" s="46"/>
      <c r="C38" s="47"/>
      <c r="D38" s="48"/>
      <c r="E38" s="48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1:41" ht="21" customHeight="1" x14ac:dyDescent="0.3">
      <c r="A39" s="45"/>
      <c r="B39" s="46"/>
      <c r="C39" s="47"/>
      <c r="D39" s="48"/>
      <c r="E39" s="48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1:41" ht="21" customHeight="1" x14ac:dyDescent="0.3">
      <c r="A40" s="45"/>
      <c r="B40" s="46"/>
      <c r="C40" s="47"/>
      <c r="D40" s="48"/>
      <c r="E40" s="48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1:41" ht="21" customHeight="1" x14ac:dyDescent="0.3">
      <c r="A41" s="45"/>
      <c r="B41" s="46"/>
      <c r="C41" s="47"/>
      <c r="D41" s="48"/>
      <c r="E41" s="48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  <row r="42" spans="1:41" ht="21" customHeight="1" x14ac:dyDescent="0.3">
      <c r="A42" s="45"/>
      <c r="B42" s="46"/>
      <c r="C42" s="47"/>
      <c r="D42" s="48"/>
      <c r="E42" s="48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</row>
    <row r="43" spans="1:41" ht="14.25" customHeight="1" x14ac:dyDescent="0.3">
      <c r="A43" s="49"/>
      <c r="B43" s="50"/>
      <c r="C43" s="51"/>
      <c r="D43" s="52"/>
      <c r="E43" s="52"/>
    </row>
    <row r="44" spans="1:41" ht="14.25" customHeight="1" x14ac:dyDescent="0.3">
      <c r="A44" s="49"/>
      <c r="B44" s="50"/>
      <c r="C44" s="51"/>
      <c r="D44" s="52"/>
      <c r="E44" s="52"/>
    </row>
    <row r="45" spans="1:41" ht="14.25" customHeight="1" x14ac:dyDescent="0.3">
      <c r="A45" s="49"/>
      <c r="B45" s="50"/>
      <c r="C45" s="51"/>
      <c r="D45" s="52"/>
      <c r="E45" s="52"/>
    </row>
    <row r="46" spans="1:41" ht="14.25" customHeight="1" x14ac:dyDescent="0.3">
      <c r="A46" s="49"/>
      <c r="B46" s="50"/>
      <c r="C46" s="51"/>
      <c r="D46" s="52"/>
      <c r="E46" s="52"/>
    </row>
    <row r="47" spans="1:41" ht="14.25" customHeight="1" x14ac:dyDescent="0.3">
      <c r="A47" s="49"/>
      <c r="B47" s="50"/>
      <c r="C47" s="51"/>
      <c r="D47" s="52"/>
      <c r="E47" s="52"/>
    </row>
    <row r="48" spans="1:41" ht="14.25" customHeight="1" x14ac:dyDescent="0.3">
      <c r="A48" s="49"/>
      <c r="B48" s="50"/>
      <c r="C48" s="51"/>
      <c r="D48" s="52"/>
      <c r="E48" s="52"/>
    </row>
    <row r="49" spans="1:5" ht="14.25" customHeight="1" x14ac:dyDescent="0.3">
      <c r="A49" s="49"/>
      <c r="B49" s="50"/>
      <c r="C49" s="51"/>
      <c r="D49" s="52"/>
      <c r="E49" s="52"/>
    </row>
    <row r="50" spans="1:5" ht="14.25" customHeight="1" x14ac:dyDescent="0.3">
      <c r="A50" s="49"/>
      <c r="B50" s="50"/>
      <c r="C50" s="51"/>
      <c r="D50" s="52"/>
      <c r="E50" s="52"/>
    </row>
    <row r="51" spans="1:5" ht="14.25" customHeight="1" x14ac:dyDescent="0.3">
      <c r="A51" s="49"/>
      <c r="B51" s="50"/>
      <c r="C51" s="51"/>
      <c r="D51" s="52"/>
      <c r="E51" s="52"/>
    </row>
    <row r="52" spans="1:5" ht="14.25" customHeight="1" x14ac:dyDescent="0.3">
      <c r="A52" s="49"/>
      <c r="B52" s="50"/>
      <c r="C52" s="51"/>
      <c r="D52" s="52"/>
      <c r="E52" s="52"/>
    </row>
    <row r="53" spans="1:5" ht="14.25" customHeight="1" x14ac:dyDescent="0.3">
      <c r="A53" s="49"/>
      <c r="B53" s="50"/>
      <c r="C53" s="51"/>
      <c r="D53" s="52"/>
      <c r="E53" s="52"/>
    </row>
    <row r="54" spans="1:5" ht="14.25" customHeight="1" x14ac:dyDescent="0.3">
      <c r="A54" s="49"/>
      <c r="B54" s="50"/>
      <c r="C54" s="51"/>
      <c r="D54" s="52"/>
      <c r="E54" s="52"/>
    </row>
    <row r="55" spans="1:5" ht="14.25" customHeight="1" x14ac:dyDescent="0.3">
      <c r="A55" s="49"/>
      <c r="B55" s="50"/>
      <c r="C55" s="51"/>
      <c r="D55" s="52"/>
      <c r="E55" s="52"/>
    </row>
    <row r="56" spans="1:5" ht="14.25" customHeight="1" x14ac:dyDescent="0.3">
      <c r="A56" s="49"/>
      <c r="B56" s="50"/>
      <c r="C56" s="51"/>
      <c r="D56" s="52"/>
      <c r="E56" s="52"/>
    </row>
    <row r="57" spans="1:5" ht="14.25" customHeight="1" x14ac:dyDescent="0.3">
      <c r="A57" s="49"/>
      <c r="B57" s="50"/>
      <c r="C57" s="51"/>
      <c r="D57" s="52"/>
      <c r="E57" s="52"/>
    </row>
    <row r="58" spans="1:5" ht="14.25" customHeight="1" x14ac:dyDescent="0.3">
      <c r="A58" s="49"/>
      <c r="B58" s="50"/>
      <c r="C58" s="51"/>
      <c r="D58" s="52"/>
      <c r="E58" s="52"/>
    </row>
    <row r="59" spans="1:5" ht="14.25" customHeight="1" x14ac:dyDescent="0.3">
      <c r="A59" s="49"/>
      <c r="B59" s="50"/>
      <c r="C59" s="51"/>
      <c r="D59" s="52"/>
      <c r="E59" s="52"/>
    </row>
    <row r="60" spans="1:5" ht="14.25" customHeight="1" x14ac:dyDescent="0.3">
      <c r="A60" s="49"/>
      <c r="B60" s="50"/>
      <c r="C60" s="51"/>
      <c r="D60" s="52"/>
      <c r="E60" s="52"/>
    </row>
    <row r="61" spans="1:5" ht="14.25" customHeight="1" x14ac:dyDescent="0.3">
      <c r="A61" s="49"/>
      <c r="B61" s="50"/>
      <c r="C61" s="51"/>
      <c r="D61" s="52"/>
      <c r="E61" s="52"/>
    </row>
    <row r="62" spans="1:5" ht="14.25" customHeight="1" x14ac:dyDescent="0.3">
      <c r="A62" s="49"/>
      <c r="B62" s="50"/>
      <c r="C62" s="51"/>
      <c r="D62" s="52"/>
      <c r="E62" s="52"/>
    </row>
    <row r="63" spans="1:5" ht="14.25" customHeight="1" x14ac:dyDescent="0.3">
      <c r="A63" s="49"/>
      <c r="B63" s="50"/>
      <c r="C63" s="51"/>
      <c r="D63" s="52"/>
      <c r="E63" s="52"/>
    </row>
    <row r="64" spans="1:5" ht="14.25" customHeight="1" x14ac:dyDescent="0.3">
      <c r="A64" s="49"/>
      <c r="B64" s="50"/>
      <c r="C64" s="51"/>
      <c r="D64" s="52"/>
      <c r="E64" s="52"/>
    </row>
    <row r="65" spans="1:5" ht="14.25" customHeight="1" x14ac:dyDescent="0.3">
      <c r="A65" s="49"/>
      <c r="B65" s="50"/>
      <c r="C65" s="51"/>
      <c r="D65" s="52"/>
      <c r="E65" s="52"/>
    </row>
    <row r="66" spans="1:5" ht="14.25" customHeight="1" x14ac:dyDescent="0.3">
      <c r="A66" s="49"/>
      <c r="B66" s="50"/>
      <c r="C66" s="51"/>
      <c r="D66" s="52"/>
      <c r="E66" s="52"/>
    </row>
    <row r="67" spans="1:5" ht="14.25" customHeight="1" x14ac:dyDescent="0.3">
      <c r="A67" s="49"/>
      <c r="B67" s="50"/>
      <c r="C67" s="51"/>
      <c r="D67" s="52"/>
      <c r="E67" s="52"/>
    </row>
    <row r="68" spans="1:5" ht="14.25" customHeight="1" x14ac:dyDescent="0.3">
      <c r="A68" s="49"/>
      <c r="B68" s="50"/>
      <c r="C68" s="51"/>
      <c r="D68" s="52"/>
      <c r="E68" s="52"/>
    </row>
    <row r="69" spans="1:5" ht="14.25" customHeight="1" x14ac:dyDescent="0.3">
      <c r="A69" s="49"/>
      <c r="B69" s="50"/>
      <c r="C69" s="51"/>
      <c r="D69" s="52"/>
      <c r="E69" s="52"/>
    </row>
    <row r="70" spans="1:5" ht="14.25" customHeight="1" x14ac:dyDescent="0.3">
      <c r="A70" s="49"/>
      <c r="B70" s="50"/>
      <c r="C70" s="51"/>
      <c r="D70" s="52"/>
      <c r="E70" s="52"/>
    </row>
    <row r="71" spans="1:5" ht="14.25" customHeight="1" x14ac:dyDescent="0.3">
      <c r="A71" s="49"/>
      <c r="B71" s="50"/>
      <c r="C71" s="51"/>
      <c r="D71" s="52"/>
      <c r="E71" s="52"/>
    </row>
    <row r="72" spans="1:5" ht="14.25" customHeight="1" x14ac:dyDescent="0.3">
      <c r="A72" s="49"/>
      <c r="B72" s="50"/>
      <c r="C72" s="51"/>
      <c r="D72" s="52"/>
      <c r="E72" s="52"/>
    </row>
    <row r="73" spans="1:5" ht="14.25" customHeight="1" x14ac:dyDescent="0.3">
      <c r="A73" s="49"/>
      <c r="B73" s="50"/>
      <c r="C73" s="51"/>
      <c r="D73" s="52"/>
      <c r="E73" s="52"/>
    </row>
    <row r="74" spans="1:5" ht="14.25" customHeight="1" x14ac:dyDescent="0.3">
      <c r="A74" s="49"/>
      <c r="B74" s="50"/>
      <c r="C74" s="51"/>
      <c r="D74" s="52"/>
      <c r="E74" s="52"/>
    </row>
    <row r="75" spans="1:5" ht="14.25" customHeight="1" x14ac:dyDescent="0.3">
      <c r="A75" s="49"/>
      <c r="B75" s="50"/>
      <c r="C75" s="51"/>
      <c r="D75" s="52"/>
      <c r="E75" s="52"/>
    </row>
    <row r="76" spans="1:5" ht="14.25" customHeight="1" x14ac:dyDescent="0.3">
      <c r="A76" s="49"/>
      <c r="B76" s="50"/>
      <c r="C76" s="51"/>
      <c r="D76" s="52"/>
      <c r="E76" s="52"/>
    </row>
    <row r="77" spans="1:5" ht="14.25" customHeight="1" x14ac:dyDescent="0.3">
      <c r="A77" s="49"/>
      <c r="B77" s="50"/>
      <c r="C77" s="51"/>
      <c r="D77" s="52"/>
      <c r="E77" s="52"/>
    </row>
    <row r="78" spans="1:5" ht="14.25" customHeight="1" x14ac:dyDescent="0.3">
      <c r="A78" s="49"/>
      <c r="B78" s="50"/>
      <c r="C78" s="51"/>
      <c r="D78" s="52"/>
      <c r="E78" s="52"/>
    </row>
    <row r="79" spans="1:5" ht="14.25" customHeight="1" x14ac:dyDescent="0.3">
      <c r="A79" s="49"/>
      <c r="B79" s="50"/>
      <c r="C79" s="51"/>
      <c r="D79" s="52"/>
      <c r="E79" s="52"/>
    </row>
    <row r="80" spans="1:5" ht="14.25" customHeight="1" x14ac:dyDescent="0.3">
      <c r="A80" s="49"/>
      <c r="B80" s="50"/>
      <c r="C80" s="51"/>
      <c r="D80" s="52"/>
      <c r="E80" s="52"/>
    </row>
    <row r="81" spans="1:5" ht="14.25" customHeight="1" x14ac:dyDescent="0.3">
      <c r="A81" s="49"/>
      <c r="B81" s="50"/>
      <c r="C81" s="51"/>
      <c r="D81" s="52"/>
      <c r="E81" s="52"/>
    </row>
    <row r="82" spans="1:5" ht="14.25" customHeight="1" x14ac:dyDescent="0.3">
      <c r="A82" s="49"/>
      <c r="B82" s="50"/>
      <c r="C82" s="51"/>
      <c r="D82" s="52"/>
      <c r="E82" s="52"/>
    </row>
    <row r="83" spans="1:5" ht="14.25" customHeight="1" x14ac:dyDescent="0.3">
      <c r="A83" s="49"/>
      <c r="B83" s="50"/>
      <c r="C83" s="51"/>
      <c r="D83" s="52"/>
      <c r="E83" s="52"/>
    </row>
    <row r="84" spans="1:5" ht="14.25" customHeight="1" x14ac:dyDescent="0.3">
      <c r="A84" s="35"/>
    </row>
    <row r="85" spans="1:5" ht="14.25" customHeight="1" x14ac:dyDescent="0.3">
      <c r="A85" s="35"/>
    </row>
    <row r="86" spans="1:5" ht="14.25" customHeight="1" x14ac:dyDescent="0.3">
      <c r="A86" s="35"/>
    </row>
    <row r="87" spans="1:5" ht="14.25" customHeight="1" x14ac:dyDescent="0.3">
      <c r="A87" s="35"/>
    </row>
    <row r="88" spans="1:5" ht="14.25" customHeight="1" x14ac:dyDescent="0.3">
      <c r="A88" s="35"/>
    </row>
    <row r="89" spans="1:5" ht="14.25" customHeight="1" x14ac:dyDescent="0.3">
      <c r="A89" s="35"/>
    </row>
    <row r="90" spans="1:5" ht="14.25" customHeight="1" x14ac:dyDescent="0.3">
      <c r="A90" s="35"/>
    </row>
    <row r="91" spans="1:5" ht="14.25" customHeight="1" x14ac:dyDescent="0.3">
      <c r="A91" s="35"/>
    </row>
    <row r="92" spans="1:5" ht="14.25" customHeight="1" x14ac:dyDescent="0.3">
      <c r="A92" s="35"/>
    </row>
    <row r="93" spans="1:5" ht="14.25" customHeight="1" x14ac:dyDescent="0.3">
      <c r="A93" s="35"/>
    </row>
    <row r="94" spans="1:5" ht="14.25" customHeight="1" x14ac:dyDescent="0.3">
      <c r="A94" s="35"/>
    </row>
    <row r="95" spans="1:5" ht="14.25" customHeight="1" x14ac:dyDescent="0.3">
      <c r="A95" s="35"/>
    </row>
    <row r="96" spans="1:5" ht="14.25" customHeight="1" x14ac:dyDescent="0.3">
      <c r="A96" s="35"/>
    </row>
    <row r="97" spans="1:1" ht="14.25" customHeight="1" x14ac:dyDescent="0.3">
      <c r="A97" s="35"/>
    </row>
    <row r="98" spans="1:1" ht="14.25" customHeight="1" x14ac:dyDescent="0.3">
      <c r="A98" s="35"/>
    </row>
  </sheetData>
  <mergeCells count="6">
    <mergeCell ref="A19:B19"/>
    <mergeCell ref="A3:P3"/>
    <mergeCell ref="A16:A18"/>
    <mergeCell ref="B16:B18"/>
    <mergeCell ref="C16:C18"/>
    <mergeCell ref="D16:E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Phuc</dc:creator>
  <cp:lastModifiedBy>Phuc</cp:lastModifiedBy>
  <dcterms:created xsi:type="dcterms:W3CDTF">2022-02-11T00:43:48Z</dcterms:created>
  <dcterms:modified xsi:type="dcterms:W3CDTF">2022-02-14T15:36:48Z</dcterms:modified>
</cp:coreProperties>
</file>