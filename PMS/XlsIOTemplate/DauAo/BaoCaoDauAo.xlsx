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[Project]PMS\PMS\CanDauAo\ReoTemplate\"/>
    </mc:Choice>
  </mc:AlternateContent>
  <xr:revisionPtr revIDLastSave="0" documentId="13_ncr:1_{F4C516C1-0F07-4C9C-B4D5-6715D6A23939}" xr6:coauthVersionLast="45" xr6:coauthVersionMax="45" xr10:uidLastSave="{00000000-0000-0000-0000-000000000000}"/>
  <bookViews>
    <workbookView xWindow="1224" yWindow="120" windowWidth="21600" windowHeight="11328" xr2:uid="{FA4CBCAC-4087-4B20-95AE-A8CF78C86A0F}"/>
  </bookViews>
  <sheets>
    <sheet name="BaoCao" sheetId="2" r:id="rId1"/>
    <sheet name="Mau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4" i="1" l="1"/>
  <c r="E24" i="1"/>
  <c r="F24" i="1" s="1"/>
  <c r="F23" i="1"/>
  <c r="F22" i="1"/>
  <c r="F21" i="1"/>
  <c r="F20" i="1"/>
  <c r="F19" i="1"/>
  <c r="F18" i="1"/>
  <c r="J17" i="1"/>
  <c r="H17" i="1"/>
  <c r="I17" i="1" s="1"/>
  <c r="F17" i="1"/>
  <c r="F16" i="1"/>
  <c r="F15" i="1"/>
  <c r="F14" i="1"/>
  <c r="J13" i="1"/>
  <c r="H13" i="1"/>
  <c r="I13" i="1" s="1"/>
  <c r="F13" i="1"/>
  <c r="F12" i="1"/>
  <c r="J11" i="1"/>
  <c r="I11" i="1"/>
  <c r="H11" i="1"/>
  <c r="F11" i="1"/>
  <c r="F10" i="1"/>
  <c r="F9" i="1"/>
  <c r="J8" i="1"/>
  <c r="H8" i="1"/>
  <c r="I8" i="1" s="1"/>
  <c r="F8" i="1"/>
</calcChain>
</file>

<file path=xl/sharedStrings.xml><?xml version="1.0" encoding="utf-8"?>
<sst xmlns="http://schemas.openxmlformats.org/spreadsheetml/2006/main" count="59" uniqueCount="44">
  <si>
    <t>BẢNG TỔNG HỢP THU HOẠCH CÁ AO 17 CỒN TRÒN  8/03/ 2020.</t>
  </si>
  <si>
    <t>Ngày</t>
  </si>
  <si>
    <t>AO</t>
  </si>
  <si>
    <t>Ghe Vận Chuyển</t>
  </si>
  <si>
    <t>LƯỢNG CHỞ TỪNG GHE</t>
  </si>
  <si>
    <t>Tổng Lượng Của Ngày</t>
  </si>
  <si>
    <t>Ghi chú</t>
  </si>
  <si>
    <t>Số Ghe</t>
  </si>
  <si>
    <t>Tên  Ghe</t>
  </si>
  <si>
    <t>Tổng Lượng</t>
  </si>
  <si>
    <t xml:space="preserve">Cá Mạnh </t>
  </si>
  <si>
    <t>Cá ngộp</t>
  </si>
  <si>
    <t>Tổng</t>
  </si>
  <si>
    <t>Mạnh</t>
  </si>
  <si>
    <t>Ngộp</t>
  </si>
  <si>
    <t xml:space="preserve">AG 0130 </t>
  </si>
  <si>
    <t>Phú Thịnh</t>
  </si>
  <si>
    <t>Công đoàn Anh Dũng</t>
  </si>
  <si>
    <t>AG 0567</t>
  </si>
  <si>
    <t>Minh Tâm 2</t>
  </si>
  <si>
    <t>AG 0161</t>
  </si>
  <si>
    <t>Nguyễn An 3</t>
  </si>
  <si>
    <t>AG 0811</t>
  </si>
  <si>
    <t>Nguyễn An 1</t>
  </si>
  <si>
    <t>AG 0323</t>
  </si>
  <si>
    <t>Hồng Nhi</t>
  </si>
  <si>
    <t>AG 0738</t>
  </si>
  <si>
    <t>Minh Tâm 1</t>
  </si>
  <si>
    <t>AG 0429</t>
  </si>
  <si>
    <t>Thanh Hùng</t>
  </si>
  <si>
    <t>AG 0768</t>
  </si>
  <si>
    <t>Bảo Tường</t>
  </si>
  <si>
    <t>AG 0130</t>
  </si>
  <si>
    <t>Phú Thịnh</t>
  </si>
  <si>
    <t>AG 0748</t>
  </si>
  <si>
    <t>Trường Hải 7</t>
  </si>
  <si>
    <t>ĐT 13131</t>
  </si>
  <si>
    <t>Thanh Long 7</t>
  </si>
  <si>
    <t>Anh thừa vét ao</t>
  </si>
  <si>
    <t>TỖNG</t>
  </si>
  <si>
    <t>bình quân 890 gram/con.</t>
  </si>
  <si>
    <t>công đoàn  anh Dũng</t>
  </si>
  <si>
    <t>Cá ngộp ĐEM VỀ CTY NHA!</t>
  </si>
  <si>
    <t>FCR  làm tròn 1.52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</si>
</sst>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70C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charset val="163"/>
      <scheme val="minor"/>
    </font>
    <font>
      <sz val="11"/>
      <color theme="1"/>
      <name val="     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4" fontId="5" fillId="4" borderId="2" xfId="1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4" fontId="6" fillId="5" borderId="2" xfId="0" applyNumberFormat="1" applyFont="1" applyFill="1" applyBorder="1" applyAlignment="1">
      <alignment horizontal="center" vertical="center" wrapText="1"/>
    </xf>
    <xf numFmtId="164" fontId="6" fillId="5" borderId="2" xfId="1" applyNumberFormat="1" applyFont="1" applyFill="1" applyBorder="1" applyAlignment="1">
      <alignment horizontal="center" vertical="center" wrapText="1"/>
    </xf>
    <xf numFmtId="164" fontId="5" fillId="5" borderId="2" xfId="1" applyNumberFormat="1" applyFont="1" applyFill="1" applyBorder="1" applyAlignment="1">
      <alignment horizontal="center" vertical="center"/>
    </xf>
    <xf numFmtId="164" fontId="6" fillId="5" borderId="2" xfId="1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4" fontId="6" fillId="6" borderId="2" xfId="0" applyNumberFormat="1" applyFont="1" applyFill="1" applyBorder="1" applyAlignment="1">
      <alignment horizontal="center" vertical="center" wrapText="1"/>
    </xf>
    <xf numFmtId="164" fontId="6" fillId="6" borderId="2" xfId="1" applyNumberFormat="1" applyFont="1" applyFill="1" applyBorder="1" applyAlignment="1">
      <alignment vertical="center" wrapText="1"/>
    </xf>
    <xf numFmtId="164" fontId="5" fillId="6" borderId="2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1" fontId="6" fillId="5" borderId="2" xfId="0" applyNumberFormat="1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164" fontId="8" fillId="5" borderId="2" xfId="1" applyNumberFormat="1" applyFont="1" applyFill="1" applyBorder="1" applyAlignment="1">
      <alignment horizontal="center" vertical="center"/>
    </xf>
    <xf numFmtId="164" fontId="9" fillId="5" borderId="2" xfId="1" applyNumberFormat="1" applyFont="1" applyFill="1" applyBorder="1" applyAlignment="1">
      <alignment horizontal="center" vertical="center"/>
    </xf>
    <xf numFmtId="164" fontId="5" fillId="5" borderId="2" xfId="1" applyNumberFormat="1" applyFont="1" applyFill="1" applyBorder="1" applyAlignment="1">
      <alignment vertical="center"/>
    </xf>
    <xf numFmtId="0" fontId="2" fillId="5" borderId="2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5" borderId="0" xfId="0" applyFont="1" applyFill="1" applyAlignment="1">
      <alignment horizontal="left" vertical="top" wrapText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5" fillId="5" borderId="2" xfId="0" applyNumberFormat="1" applyFont="1" applyFill="1" applyBorder="1" applyAlignment="1">
      <alignment horizontal="center" vertical="center"/>
    </xf>
    <xf numFmtId="165" fontId="5" fillId="5" borderId="2" xfId="0" applyNumberFormat="1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 wrapText="1"/>
    </xf>
    <xf numFmtId="14" fontId="6" fillId="5" borderId="4" xfId="0" applyNumberFormat="1" applyFont="1" applyFill="1" applyBorder="1" applyAlignment="1">
      <alignment horizontal="center" vertical="center" wrapText="1"/>
    </xf>
    <xf numFmtId="14" fontId="6" fillId="5" borderId="3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1" fontId="6" fillId="5" borderId="4" xfId="0" applyNumberFormat="1" applyFont="1" applyFill="1" applyBorder="1" applyAlignment="1">
      <alignment horizontal="center" vertical="center" wrapText="1"/>
    </xf>
    <xf numFmtId="1" fontId="6" fillId="5" borderId="3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164" fontId="6" fillId="5" borderId="4" xfId="0" applyNumberFormat="1" applyFont="1" applyFill="1" applyBorder="1" applyAlignment="1">
      <alignment horizontal="center" vertical="center" wrapText="1"/>
    </xf>
    <xf numFmtId="164" fontId="6" fillId="5" borderId="3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4" fontId="6" fillId="6" borderId="1" xfId="0" applyNumberFormat="1" applyFont="1" applyFill="1" applyBorder="1" applyAlignment="1">
      <alignment horizontal="center" vertical="center" wrapText="1"/>
    </xf>
    <xf numFmtId="14" fontId="6" fillId="6" borderId="4" xfId="0" applyNumberFormat="1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1" fontId="6" fillId="6" borderId="4" xfId="0" applyNumberFormat="1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164" fontId="6" fillId="6" borderId="4" xfId="0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14" fontId="6" fillId="6" borderId="3" xfId="0" applyNumberFormat="1" applyFont="1" applyFill="1" applyBorder="1" applyAlignment="1">
      <alignment horizontal="center" vertical="center" wrapText="1"/>
    </xf>
    <xf numFmtId="1" fontId="6" fillId="6" borderId="3" xfId="0" applyNumberFormat="1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164" fontId="7" fillId="6" borderId="4" xfId="0" applyNumberFormat="1" applyFont="1" applyFill="1" applyBorder="1" applyAlignment="1">
      <alignment horizontal="center" vertical="center" wrapText="1"/>
    </xf>
    <xf numFmtId="164" fontId="7" fillId="6" borderId="3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278130</xdr:colOff>
      <xdr:row>0</xdr:row>
      <xdr:rowOff>133350</xdr:rowOff>
    </xdr:from>
    <xdr:to>
      <xdr:col>1</xdr:col>
      <xdr:colOff>169545</xdr:colOff>
      <xdr:row>4</xdr:row>
      <xdr:rowOff>15240</xdr:rowOff>
    </xdr:to>
    <xdr:pic>
      <xdr:nvPicPr>
        <xdr:cNvPr id="2" name="Picture 3" descr="CÔNG TY TNHH THỦY SẢN ĐẠI ĐẠI THÀNH">
          <a:extLst>
            <a:ext uri="{FF2B5EF4-FFF2-40B4-BE49-F238E27FC236}">
              <a16:creationId xmlns:a16="http://schemas.microsoft.com/office/drawing/2014/main" id="{6B319789-32CE-4F83-81D9-14FFECC14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" y="133350"/>
          <a:ext cx="817245" cy="605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276224</xdr:colOff>
      <xdr:row>0</xdr:row>
      <xdr:rowOff>161925</xdr:rowOff>
    </xdr:from>
    <xdr:to>
      <xdr:col>1</xdr:col>
      <xdr:colOff>190499</xdr:colOff>
      <xdr:row>4</xdr:row>
      <xdr:rowOff>36195</xdr:rowOff>
    </xdr:to>
    <xdr:pic>
      <xdr:nvPicPr>
        <xdr:cNvPr id="3" name="Picture 3" descr="CÔNG TY TNHH THỦY SẢN ĐẠI ĐẠI THÀNH">
          <a:extLst>
            <a:ext uri="{FF2B5EF4-FFF2-40B4-BE49-F238E27FC236}">
              <a16:creationId xmlns:a16="http://schemas.microsoft.com/office/drawing/2014/main" id="{69816D39-D99A-494E-B63E-31A650297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29" y="163830"/>
          <a:ext cx="826770" cy="596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276224</xdr:colOff>
      <xdr:row>0</xdr:row>
      <xdr:rowOff>161925</xdr:rowOff>
    </xdr:from>
    <xdr:to>
      <xdr:col>1</xdr:col>
      <xdr:colOff>175259</xdr:colOff>
      <xdr:row>4</xdr:row>
      <xdr:rowOff>20955</xdr:rowOff>
    </xdr:to>
    <xdr:pic>
      <xdr:nvPicPr>
        <xdr:cNvPr id="2" name="Picture 3" descr="CÔNG TY TNHH THỦY SẢN ĐẠI ĐẠI THÀNH">
          <a:extLst>
            <a:ext uri="{FF2B5EF4-FFF2-40B4-BE49-F238E27FC236}">
              <a16:creationId xmlns:a16="http://schemas.microsoft.com/office/drawing/2014/main" id="{9E7816B4-C865-45A7-9528-9A56487B2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4" y="161925"/>
          <a:ext cx="815340" cy="5848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8994-47F2-41AE-B3E3-ABBEA8A6CF96}">
  <dimension ref="A3:R16"/>
  <sheetViews>
    <sheetView tabSelected="1" workbookViewId="0">
      <selection activeCell="L13" sqref="L13"/>
    </sheetView>
  </sheetViews>
  <sheetFormatPr defaultColWidth="9.109375" defaultRowHeight="14.4"/>
  <cols>
    <col min="1" max="1" width="13.5546875" style="32" customWidth="1"/>
    <col min="2" max="2" width="10.6640625" style="1" customWidth="1"/>
    <col min="3" max="3" width="17" style="1" customWidth="1"/>
    <col min="4" max="4" width="16" style="1" bestFit="1" customWidth="1"/>
    <col min="5" max="5" width="12.44140625" style="35" customWidth="1"/>
    <col min="6" max="6" width="10.5546875" style="35" bestFit="1" customWidth="1"/>
    <col min="7" max="7" width="10.6640625" style="35" bestFit="1" customWidth="1"/>
    <col min="8" max="16384" width="9.109375" style="1"/>
  </cols>
  <sheetData>
    <row r="3" spans="1:18" ht="15" customHeight="1">
      <c r="C3" s="36"/>
      <c r="D3" s="36"/>
      <c r="E3" s="36"/>
      <c r="F3" s="36"/>
      <c r="G3" s="36"/>
    </row>
    <row r="4" spans="1:18" ht="15" customHeight="1">
      <c r="C4" s="36"/>
      <c r="D4" s="36"/>
      <c r="E4" s="36"/>
      <c r="F4" s="36"/>
      <c r="G4" s="36"/>
    </row>
    <row r="6" spans="1:18" s="30" customFormat="1">
      <c r="A6" s="33"/>
      <c r="B6" s="31"/>
      <c r="C6" s="31"/>
      <c r="D6" s="31"/>
      <c r="E6" s="34"/>
      <c r="F6" s="34"/>
      <c r="G6" s="34"/>
    </row>
    <row r="7" spans="1:18" s="30" customFormat="1">
      <c r="A7" s="33"/>
      <c r="B7" s="31"/>
      <c r="C7" s="31"/>
      <c r="D7" s="31"/>
      <c r="E7" s="34"/>
      <c r="F7" s="34"/>
      <c r="G7" s="34"/>
    </row>
    <row r="8" spans="1:18" s="15" customFormat="1">
      <c r="A8" s="32"/>
      <c r="B8" s="29"/>
      <c r="C8" s="29"/>
      <c r="D8" s="29"/>
      <c r="E8" s="35"/>
      <c r="F8" s="35"/>
      <c r="G8" s="35"/>
      <c r="H8" s="26"/>
      <c r="I8" s="26"/>
      <c r="J8" s="26"/>
      <c r="K8" s="29"/>
      <c r="L8" s="29"/>
      <c r="M8" s="29"/>
      <c r="N8" s="29"/>
      <c r="O8" s="26"/>
      <c r="P8" s="26"/>
      <c r="Q8" s="26"/>
      <c r="R8" s="29"/>
    </row>
    <row r="9" spans="1:18">
      <c r="B9" s="29"/>
      <c r="C9" s="29"/>
      <c r="D9" s="29"/>
      <c r="H9" s="26"/>
      <c r="I9" s="26"/>
      <c r="J9" s="26"/>
      <c r="K9" s="29"/>
      <c r="L9" s="29"/>
      <c r="M9" s="29"/>
      <c r="N9" s="29"/>
      <c r="O9" s="26"/>
      <c r="P9" s="26"/>
      <c r="Q9" s="26"/>
      <c r="R9" s="29"/>
    </row>
    <row r="10" spans="1:18">
      <c r="B10" s="29"/>
      <c r="C10" s="29"/>
      <c r="D10" s="29"/>
      <c r="H10" s="26"/>
      <c r="I10" s="26"/>
      <c r="J10" s="26"/>
      <c r="K10" s="29"/>
      <c r="L10" s="29"/>
      <c r="M10" s="29"/>
      <c r="N10" s="29"/>
      <c r="O10" s="26"/>
      <c r="P10" s="26"/>
      <c r="Q10" s="26"/>
      <c r="R10" s="29"/>
    </row>
    <row r="11" spans="1:18">
      <c r="B11" s="29"/>
      <c r="C11" s="29"/>
      <c r="D11" s="29"/>
      <c r="H11" s="26"/>
      <c r="I11" s="26"/>
      <c r="J11" s="26"/>
      <c r="K11" s="29"/>
      <c r="L11" s="29"/>
      <c r="M11" s="29"/>
      <c r="N11" s="29"/>
      <c r="O11" s="26"/>
      <c r="P11" s="26"/>
      <c r="Q11" s="26"/>
      <c r="R11" s="29"/>
    </row>
    <row r="12" spans="1:18" s="26" customFormat="1">
      <c r="A12" s="32"/>
      <c r="B12" s="1"/>
      <c r="C12" s="1"/>
      <c r="D12" s="1"/>
      <c r="E12" s="35"/>
      <c r="F12" s="35"/>
      <c r="G12" s="35"/>
      <c r="K12" s="29"/>
      <c r="L12" s="29"/>
      <c r="M12" s="29"/>
      <c r="N12" s="29"/>
      <c r="R12" s="29"/>
    </row>
    <row r="13" spans="1:18">
      <c r="B13" s="29"/>
      <c r="C13" s="29"/>
      <c r="D13" s="29"/>
      <c r="H13" s="26"/>
      <c r="I13" s="26"/>
      <c r="J13" s="26"/>
      <c r="K13" s="29"/>
      <c r="L13" s="29"/>
      <c r="M13" s="29"/>
      <c r="N13" s="29"/>
      <c r="O13" s="26"/>
      <c r="P13" s="26"/>
      <c r="Q13" s="26"/>
      <c r="R13" s="29"/>
    </row>
    <row r="14" spans="1:18">
      <c r="B14" s="29"/>
      <c r="C14" s="29"/>
      <c r="D14" s="29"/>
      <c r="H14" s="26"/>
      <c r="I14" s="26"/>
      <c r="J14" s="26"/>
      <c r="K14" s="29"/>
      <c r="L14" s="29"/>
      <c r="M14" s="29"/>
      <c r="N14" s="29"/>
      <c r="O14" s="26"/>
      <c r="P14" s="26"/>
      <c r="Q14" s="26"/>
      <c r="R14" s="29"/>
    </row>
    <row r="16" spans="1:18" s="26" customFormat="1">
      <c r="A16" s="32"/>
      <c r="B16" s="1"/>
      <c r="C16" s="1"/>
      <c r="D16" s="1"/>
      <c r="E16" s="35"/>
      <c r="F16" s="35"/>
      <c r="G16" s="35"/>
    </row>
  </sheetData>
  <mergeCells count="1">
    <mergeCell ref="C3:G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75C0-36C2-4DFF-9CAC-A441DDC61B0E}">
  <dimension ref="A3:L38"/>
  <sheetViews>
    <sheetView workbookViewId="0">
      <selection sqref="A1:XFD1048576"/>
    </sheetView>
  </sheetViews>
  <sheetFormatPr defaultColWidth="9.109375" defaultRowHeight="14.4"/>
  <cols>
    <col min="1" max="1" width="13.5546875" style="1" customWidth="1"/>
    <col min="2" max="2" width="10.6640625" style="1" customWidth="1"/>
    <col min="3" max="3" width="17" style="1" customWidth="1"/>
    <col min="4" max="4" width="16" style="1" bestFit="1" customWidth="1"/>
    <col min="5" max="5" width="12.44140625" style="26" customWidth="1"/>
    <col min="6" max="6" width="10.5546875" style="26" bestFit="1" customWidth="1"/>
    <col min="7" max="7" width="10.6640625" style="26" bestFit="1" customWidth="1"/>
    <col min="8" max="8" width="10.5546875" style="26" bestFit="1" customWidth="1"/>
    <col min="9" max="9" width="9.5546875" style="1" bestFit="1" customWidth="1"/>
    <col min="10" max="10" width="9.109375" style="1"/>
    <col min="11" max="11" width="22.44140625" style="1" customWidth="1"/>
    <col min="12" max="16384" width="9.109375" style="1"/>
  </cols>
  <sheetData>
    <row r="3" spans="1:12" ht="15" customHeight="1">
      <c r="C3" s="37" t="s">
        <v>0</v>
      </c>
      <c r="D3" s="37"/>
      <c r="E3" s="37"/>
      <c r="F3" s="37"/>
      <c r="G3" s="37"/>
      <c r="H3" s="37"/>
      <c r="I3" s="37"/>
    </row>
    <row r="4" spans="1:12" ht="15" customHeight="1">
      <c r="C4" s="37"/>
      <c r="D4" s="37"/>
      <c r="E4" s="37"/>
      <c r="F4" s="37"/>
      <c r="G4" s="37"/>
      <c r="H4" s="37"/>
      <c r="I4" s="37"/>
    </row>
    <row r="6" spans="1:12">
      <c r="A6" s="38" t="s">
        <v>1</v>
      </c>
      <c r="B6" s="38" t="s">
        <v>2</v>
      </c>
      <c r="C6" s="40" t="s">
        <v>3</v>
      </c>
      <c r="D6" s="40"/>
      <c r="E6" s="40" t="s">
        <v>4</v>
      </c>
      <c r="F6" s="40"/>
      <c r="G6" s="40"/>
      <c r="H6" s="40" t="s">
        <v>5</v>
      </c>
      <c r="I6" s="40"/>
      <c r="J6" s="40"/>
      <c r="K6" s="43" t="s">
        <v>6</v>
      </c>
    </row>
    <row r="7" spans="1:12">
      <c r="A7" s="39"/>
      <c r="B7" s="39"/>
      <c r="C7" s="2" t="s">
        <v>7</v>
      </c>
      <c r="D7" s="2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2" t="s">
        <v>13</v>
      </c>
      <c r="J7" s="2" t="s">
        <v>14</v>
      </c>
      <c r="K7" s="44"/>
    </row>
    <row r="8" spans="1:12">
      <c r="A8" s="45">
        <v>43898</v>
      </c>
      <c r="B8" s="48">
        <v>20</v>
      </c>
      <c r="C8" s="4" t="s">
        <v>15</v>
      </c>
      <c r="D8" s="5" t="s">
        <v>16</v>
      </c>
      <c r="E8" s="6">
        <v>17813</v>
      </c>
      <c r="F8" s="7">
        <f>E8-G8</f>
        <v>17253</v>
      </c>
      <c r="G8" s="7">
        <v>560</v>
      </c>
      <c r="H8" s="51">
        <f>SUM(E8:E9)</f>
        <v>42087</v>
      </c>
      <c r="I8" s="51">
        <f>H8-J8</f>
        <v>40810</v>
      </c>
      <c r="J8" s="51">
        <f>SUM(G8:G9)</f>
        <v>1277</v>
      </c>
      <c r="K8" s="54" t="s">
        <v>17</v>
      </c>
    </row>
    <row r="9" spans="1:12">
      <c r="A9" s="46"/>
      <c r="B9" s="49"/>
      <c r="C9" s="5" t="s">
        <v>18</v>
      </c>
      <c r="D9" s="5" t="s">
        <v>19</v>
      </c>
      <c r="E9" s="8">
        <v>24274</v>
      </c>
      <c r="F9" s="7">
        <f t="shared" ref="F9:F23" si="0">E9-G9</f>
        <v>23557</v>
      </c>
      <c r="G9" s="8">
        <v>717</v>
      </c>
      <c r="H9" s="52"/>
      <c r="I9" s="52"/>
      <c r="J9" s="52"/>
      <c r="K9" s="55"/>
      <c r="L9" s="9"/>
    </row>
    <row r="10" spans="1:12" s="10" customFormat="1">
      <c r="A10" s="47"/>
      <c r="B10" s="50"/>
      <c r="C10" s="5" t="s">
        <v>20</v>
      </c>
      <c r="D10" s="5" t="s">
        <v>21</v>
      </c>
      <c r="E10" s="8">
        <v>24098</v>
      </c>
      <c r="F10" s="7">
        <f t="shared" si="0"/>
        <v>22953</v>
      </c>
      <c r="G10" s="8">
        <v>1145</v>
      </c>
      <c r="H10" s="53"/>
      <c r="I10" s="53"/>
      <c r="J10" s="53"/>
      <c r="K10" s="56"/>
    </row>
    <row r="11" spans="1:12" s="15" customFormat="1">
      <c r="A11" s="57">
        <v>43899</v>
      </c>
      <c r="B11" s="59">
        <v>20</v>
      </c>
      <c r="C11" s="11" t="s">
        <v>22</v>
      </c>
      <c r="D11" s="12" t="s">
        <v>23</v>
      </c>
      <c r="E11" s="13">
        <v>32830</v>
      </c>
      <c r="F11" s="14">
        <f t="shared" si="0"/>
        <v>32122</v>
      </c>
      <c r="G11" s="13">
        <v>708</v>
      </c>
      <c r="H11" s="61">
        <f>SUM(E11:E12)</f>
        <v>61424</v>
      </c>
      <c r="I11" s="61">
        <f>H11-J11</f>
        <v>60500</v>
      </c>
      <c r="J11" s="61">
        <f>SUM(G11:G12)</f>
        <v>924</v>
      </c>
      <c r="K11" s="41" t="s">
        <v>17</v>
      </c>
    </row>
    <row r="12" spans="1:12" s="15" customFormat="1">
      <c r="A12" s="58"/>
      <c r="B12" s="60"/>
      <c r="C12" s="12" t="s">
        <v>24</v>
      </c>
      <c r="D12" s="12" t="s">
        <v>25</v>
      </c>
      <c r="E12" s="13">
        <v>28594</v>
      </c>
      <c r="F12" s="14">
        <f t="shared" si="0"/>
        <v>28378</v>
      </c>
      <c r="G12" s="13">
        <v>216</v>
      </c>
      <c r="H12" s="62"/>
      <c r="I12" s="62"/>
      <c r="J12" s="62"/>
      <c r="K12" s="42"/>
    </row>
    <row r="13" spans="1:12" s="15" customFormat="1">
      <c r="A13" s="45">
        <v>43900</v>
      </c>
      <c r="B13" s="48">
        <v>20</v>
      </c>
      <c r="C13" s="16" t="s">
        <v>26</v>
      </c>
      <c r="D13" s="16" t="s">
        <v>27</v>
      </c>
      <c r="E13" s="8">
        <v>26989</v>
      </c>
      <c r="F13" s="7">
        <f t="shared" si="0"/>
        <v>26566</v>
      </c>
      <c r="G13" s="8">
        <v>423</v>
      </c>
      <c r="H13" s="51">
        <f>SUM(E13:E16)</f>
        <v>99029</v>
      </c>
      <c r="I13" s="51">
        <f>H13-J13</f>
        <v>97009</v>
      </c>
      <c r="J13" s="51">
        <f>SUM(G13:G16)</f>
        <v>2020</v>
      </c>
      <c r="K13" s="64" t="s">
        <v>17</v>
      </c>
    </row>
    <row r="14" spans="1:12" s="15" customFormat="1">
      <c r="A14" s="46"/>
      <c r="B14" s="49"/>
      <c r="C14" s="5" t="s">
        <v>20</v>
      </c>
      <c r="D14" s="5" t="s">
        <v>21</v>
      </c>
      <c r="E14" s="8">
        <v>22988</v>
      </c>
      <c r="F14" s="7">
        <f t="shared" si="0"/>
        <v>22398</v>
      </c>
      <c r="G14" s="8">
        <v>590</v>
      </c>
      <c r="H14" s="52"/>
      <c r="I14" s="52"/>
      <c r="J14" s="52"/>
      <c r="K14" s="65"/>
    </row>
    <row r="15" spans="1:12" s="15" customFormat="1">
      <c r="A15" s="46"/>
      <c r="B15" s="49"/>
      <c r="C15" s="4" t="s">
        <v>22</v>
      </c>
      <c r="D15" s="5" t="s">
        <v>23</v>
      </c>
      <c r="E15" s="8">
        <v>31033</v>
      </c>
      <c r="F15" s="7">
        <f t="shared" si="0"/>
        <v>30583</v>
      </c>
      <c r="G15" s="8">
        <v>450</v>
      </c>
      <c r="H15" s="52"/>
      <c r="I15" s="52"/>
      <c r="J15" s="52"/>
      <c r="K15" s="65"/>
    </row>
    <row r="16" spans="1:12" s="15" customFormat="1">
      <c r="A16" s="46"/>
      <c r="B16" s="49"/>
      <c r="C16" s="5" t="s">
        <v>28</v>
      </c>
      <c r="D16" s="5" t="s">
        <v>29</v>
      </c>
      <c r="E16" s="8">
        <v>18019</v>
      </c>
      <c r="F16" s="7">
        <f t="shared" si="0"/>
        <v>17462</v>
      </c>
      <c r="G16" s="8">
        <v>557</v>
      </c>
      <c r="H16" s="46"/>
      <c r="I16" s="46"/>
      <c r="J16" s="46"/>
      <c r="K16" s="65"/>
    </row>
    <row r="17" spans="1:11" s="15" customFormat="1">
      <c r="A17" s="57">
        <v>43901</v>
      </c>
      <c r="B17" s="59">
        <v>20</v>
      </c>
      <c r="C17" s="12" t="s">
        <v>30</v>
      </c>
      <c r="D17" s="12" t="s">
        <v>31</v>
      </c>
      <c r="E17" s="13">
        <v>27258</v>
      </c>
      <c r="F17" s="14">
        <f t="shared" si="0"/>
        <v>26873</v>
      </c>
      <c r="G17" s="13">
        <v>385</v>
      </c>
      <c r="H17" s="68">
        <f>E17+E18+E19+E20</f>
        <v>106658</v>
      </c>
      <c r="I17" s="68">
        <f>H17-J17</f>
        <v>104761</v>
      </c>
      <c r="J17" s="68">
        <f>G17+G18+G19+G20</f>
        <v>1897</v>
      </c>
      <c r="K17" s="41" t="s">
        <v>17</v>
      </c>
    </row>
    <row r="18" spans="1:11" s="15" customFormat="1">
      <c r="A18" s="58"/>
      <c r="B18" s="60"/>
      <c r="C18" s="12" t="s">
        <v>32</v>
      </c>
      <c r="D18" s="12" t="s">
        <v>33</v>
      </c>
      <c r="E18" s="13">
        <v>17346</v>
      </c>
      <c r="F18" s="14">
        <f t="shared" si="0"/>
        <v>16897</v>
      </c>
      <c r="G18" s="13">
        <v>449</v>
      </c>
      <c r="H18" s="69"/>
      <c r="I18" s="69"/>
      <c r="J18" s="69"/>
      <c r="K18" s="42"/>
    </row>
    <row r="19" spans="1:11" s="15" customFormat="1">
      <c r="A19" s="58"/>
      <c r="B19" s="60"/>
      <c r="C19" s="17" t="s">
        <v>34</v>
      </c>
      <c r="D19" s="17" t="s">
        <v>35</v>
      </c>
      <c r="E19" s="13">
        <v>32042</v>
      </c>
      <c r="F19" s="14">
        <f t="shared" si="0"/>
        <v>31319</v>
      </c>
      <c r="G19" s="13">
        <v>723</v>
      </c>
      <c r="H19" s="69"/>
      <c r="I19" s="69"/>
      <c r="J19" s="69"/>
      <c r="K19" s="42"/>
    </row>
    <row r="20" spans="1:11" s="15" customFormat="1">
      <c r="A20" s="58"/>
      <c r="B20" s="60"/>
      <c r="C20" s="12" t="s">
        <v>36</v>
      </c>
      <c r="D20" s="12" t="s">
        <v>37</v>
      </c>
      <c r="E20" s="13">
        <v>30012</v>
      </c>
      <c r="F20" s="14">
        <f t="shared" si="0"/>
        <v>29672</v>
      </c>
      <c r="G20" s="13">
        <v>340</v>
      </c>
      <c r="H20" s="69"/>
      <c r="I20" s="69"/>
      <c r="J20" s="69"/>
      <c r="K20" s="42"/>
    </row>
    <row r="21" spans="1:11" s="15" customFormat="1">
      <c r="A21" s="66"/>
      <c r="B21" s="67"/>
      <c r="C21" s="12" t="s">
        <v>20</v>
      </c>
      <c r="D21" s="12" t="s">
        <v>21</v>
      </c>
      <c r="E21" s="13">
        <v>17012</v>
      </c>
      <c r="F21" s="14">
        <f t="shared" si="0"/>
        <v>16742</v>
      </c>
      <c r="G21" s="13">
        <v>270</v>
      </c>
      <c r="H21" s="70"/>
      <c r="I21" s="70"/>
      <c r="J21" s="70"/>
      <c r="K21" s="63"/>
    </row>
    <row r="22" spans="1:11" s="15" customFormat="1">
      <c r="A22" s="5">
        <v>43903</v>
      </c>
      <c r="B22" s="18">
        <v>20</v>
      </c>
      <c r="C22" s="5" t="s">
        <v>32</v>
      </c>
      <c r="D22" s="5" t="s">
        <v>16</v>
      </c>
      <c r="E22" s="8">
        <v>11146</v>
      </c>
      <c r="F22" s="14">
        <f t="shared" si="0"/>
        <v>11146</v>
      </c>
      <c r="G22" s="8"/>
      <c r="H22" s="19"/>
      <c r="I22" s="19"/>
      <c r="J22" s="19"/>
      <c r="K22" s="20" t="s">
        <v>38</v>
      </c>
    </row>
    <row r="23" spans="1:11" s="15" customFormat="1">
      <c r="A23" s="5">
        <v>43904</v>
      </c>
      <c r="B23" s="18">
        <v>20</v>
      </c>
      <c r="C23" s="5" t="s">
        <v>28</v>
      </c>
      <c r="D23" s="5" t="s">
        <v>29</v>
      </c>
      <c r="E23" s="8">
        <v>11731</v>
      </c>
      <c r="F23" s="7">
        <f t="shared" si="0"/>
        <v>11731</v>
      </c>
      <c r="G23" s="8"/>
      <c r="H23" s="19"/>
      <c r="I23" s="19"/>
      <c r="J23" s="19"/>
      <c r="K23" s="20" t="s">
        <v>38</v>
      </c>
    </row>
    <row r="24" spans="1:11" s="15" customFormat="1">
      <c r="A24" s="71" t="s">
        <v>39</v>
      </c>
      <c r="B24" s="72"/>
      <c r="C24" s="72"/>
      <c r="D24" s="73"/>
      <c r="E24" s="21">
        <f>SUM(E8:E23)</f>
        <v>373185</v>
      </c>
      <c r="F24" s="22">
        <f>E24-G24</f>
        <v>365652</v>
      </c>
      <c r="G24" s="22">
        <f>SUM(G8:G23)</f>
        <v>7533</v>
      </c>
      <c r="H24" s="23"/>
      <c r="I24" s="23"/>
      <c r="J24" s="23"/>
      <c r="K24" s="24"/>
    </row>
    <row r="25" spans="1:11" s="15" customFormat="1">
      <c r="A25" s="25" t="s">
        <v>6</v>
      </c>
      <c r="B25" s="1"/>
      <c r="C25" s="1"/>
      <c r="D25" s="1"/>
      <c r="E25" s="26"/>
      <c r="F25" s="26"/>
      <c r="G25" s="26"/>
      <c r="H25" s="26"/>
      <c r="I25" s="1"/>
      <c r="J25" s="1"/>
      <c r="K25" s="27"/>
    </row>
    <row r="26" spans="1:11" s="15" customFormat="1">
      <c r="A26" s="74" t="s">
        <v>40</v>
      </c>
      <c r="B26" s="74"/>
      <c r="C26" s="74"/>
      <c r="D26" s="74"/>
      <c r="E26" s="26"/>
      <c r="F26" s="26"/>
      <c r="G26" s="26"/>
      <c r="H26" s="26"/>
      <c r="I26" s="1"/>
      <c r="J26" s="1"/>
      <c r="K26" s="27"/>
    </row>
    <row r="27" spans="1:11" s="15" customFormat="1">
      <c r="A27" s="75" t="s">
        <v>41</v>
      </c>
      <c r="B27" s="75"/>
      <c r="C27" s="75"/>
      <c r="D27" s="75"/>
      <c r="E27" s="26"/>
      <c r="F27" s="26"/>
      <c r="G27" s="26"/>
      <c r="H27" s="26"/>
      <c r="I27" s="1"/>
      <c r="J27" s="1"/>
      <c r="K27" s="27"/>
    </row>
    <row r="28" spans="1:11" s="15" customFormat="1">
      <c r="A28" s="1"/>
      <c r="B28" s="76" t="s">
        <v>42</v>
      </c>
      <c r="C28" s="76"/>
      <c r="D28" s="76"/>
      <c r="E28" s="26"/>
      <c r="F28" s="26"/>
      <c r="G28" s="26"/>
      <c r="H28" s="26"/>
      <c r="I28" s="1"/>
      <c r="J28" s="1"/>
      <c r="K28" s="27"/>
    </row>
    <row r="29" spans="1:11" s="15" customFormat="1">
      <c r="A29" s="1"/>
      <c r="B29" s="77" t="s">
        <v>43</v>
      </c>
      <c r="C29" s="77"/>
      <c r="D29" s="1"/>
      <c r="E29" s="26"/>
      <c r="F29" s="26"/>
      <c r="G29" s="26"/>
      <c r="H29" s="26"/>
      <c r="I29" s="1"/>
      <c r="J29" s="1"/>
      <c r="K29" s="27"/>
    </row>
    <row r="30" spans="1:11" s="15" customFormat="1">
      <c r="A30" s="1"/>
      <c r="B30" s="1"/>
      <c r="C30" s="1"/>
      <c r="D30" s="25"/>
      <c r="E30" s="26"/>
      <c r="F30" s="26"/>
      <c r="G30" s="26"/>
      <c r="H30" s="26"/>
      <c r="I30" s="1"/>
      <c r="J30" s="1"/>
    </row>
    <row r="32" spans="1:11">
      <c r="D32" s="28"/>
    </row>
    <row r="34" spans="1:10" s="26" customFormat="1">
      <c r="A34" s="1"/>
      <c r="B34" s="1"/>
      <c r="C34" s="1"/>
      <c r="D34" s="1"/>
      <c r="I34" s="1"/>
      <c r="J34" s="1"/>
    </row>
    <row r="38" spans="1:10" s="26" customFormat="1">
      <c r="A38" s="1"/>
      <c r="B38" s="1"/>
      <c r="C38" s="1"/>
      <c r="D38" s="1"/>
      <c r="I38" s="1"/>
      <c r="J38" s="1"/>
    </row>
  </sheetData>
  <mergeCells count="36">
    <mergeCell ref="A24:D24"/>
    <mergeCell ref="A26:D26"/>
    <mergeCell ref="A27:D27"/>
    <mergeCell ref="B28:D28"/>
    <mergeCell ref="B29:C29"/>
    <mergeCell ref="K17:K21"/>
    <mergeCell ref="A13:A16"/>
    <mergeCell ref="B13:B16"/>
    <mergeCell ref="H13:H16"/>
    <mergeCell ref="I13:I16"/>
    <mergeCell ref="J13:J16"/>
    <mergeCell ref="K13:K16"/>
    <mergeCell ref="A17:A21"/>
    <mergeCell ref="B17:B21"/>
    <mergeCell ref="H17:H21"/>
    <mergeCell ref="I17:I21"/>
    <mergeCell ref="J17:J21"/>
    <mergeCell ref="K11:K12"/>
    <mergeCell ref="K6:K7"/>
    <mergeCell ref="A8:A10"/>
    <mergeCell ref="B8:B10"/>
    <mergeCell ref="H8:H10"/>
    <mergeCell ref="I8:I10"/>
    <mergeCell ref="J8:J10"/>
    <mergeCell ref="K8:K10"/>
    <mergeCell ref="A11:A12"/>
    <mergeCell ref="B11:B12"/>
    <mergeCell ref="H11:H12"/>
    <mergeCell ref="I11:I12"/>
    <mergeCell ref="J11:J12"/>
    <mergeCell ref="C3:I4"/>
    <mergeCell ref="A6:A7"/>
    <mergeCell ref="B6:B7"/>
    <mergeCell ref="C6:D6"/>
    <mergeCell ref="E6:G6"/>
    <mergeCell ref="H6:J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BaoCao</vt:lpstr>
      <vt:lpstr>Mau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Phuc</cp:lastModifiedBy>
  <dcterms:created xsi:type="dcterms:W3CDTF">2020-04-15T01:18:19Z</dcterms:created>
  <dcterms:modified xsi:type="dcterms:W3CDTF">2020-05-14T00:56:13Z</dcterms:modified>
</cp:coreProperties>
</file>